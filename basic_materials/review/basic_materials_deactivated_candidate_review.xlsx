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35e00bdd5d46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259d28012c0d4858"/>
    <x:sheet xmlns:r="http://schemas.openxmlformats.org/officeDocument/2006/relationships" name="Cohort Summary" sheetId="2" r:id="Rf513a1d751a44446"/>
    <x:sheet xmlns:r="http://schemas.openxmlformats.org/officeDocument/2006/relationships" name="Candidate Census" sheetId="3" r:id="R8efe7e9b55a54e57"/>
    <x:sheet xmlns:r="http://schemas.openxmlformats.org/officeDocument/2006/relationships" name="Field Guide" sheetId="4" r:id="Rd37ca24d216243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1">
    <x:font>
      <x:sz val="11"/>
      <x:name val="Carlito"/>
    </x:font>
    <x:font>
      <x:sz val="10"/>
      <x:name val="Arial"/>
    </x:font>
    <x:font>
      <x:b/>
      <x:sz val="20"/>
      <x:color rgb="FFFFFFFF"/>
      <x:name val="Arial"/>
    </x:font>
    <x:font>
      <x:b/>
      <x:sz val="11"/>
      <x:color rgb="FF15324B"/>
      <x:name val="Arial"/>
    </x:font>
    <x:font>
      <x:b/>
      <x:sz val="10"/>
      <x:color rgb="FFFFFFFF"/>
      <x:name val="Arial"/>
    </x:font>
    <x:font>
      <x:b/>
      <x:sz val="15"/>
      <x:color rgb="FF991B1B"/>
      <x:name val="Arial"/>
    </x:font>
    <x:font>
      <x:sz val="11"/>
      <x:color rgb="FF7C2D12"/>
      <x:name val="Arial"/>
    </x:font>
    <x:font>
      <x:b/>
      <x:sz val="12"/>
      <x:color rgb="FFFFFFFF"/>
      <x:name val="Arial"/>
    </x:font>
    <x:font>
      <x:b/>
      <x:sz val="18"/>
      <x:color rgb="FFFFFFFF"/>
      <x:name val="Arial"/>
    </x:font>
    <x:font>
      <x:b/>
      <x:sz val="10"/>
      <x:color rgb="FF15324B"/>
      <x:name val="Arial"/>
    </x:font>
    <x:font>
      <x:b/>
      <x:sz val="10"/>
      <x:color rgb="FF92400E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E8F1FA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EE2E2"/>
      </x:patternFill>
    </x:fill>
    <x:fill>
      <x:patternFill patternType="solid">
        <x:fgColor rgb="FFFFF7ED"/>
      </x:patternFill>
    </x:fill>
    <x:fill>
      <x:patternFill patternType="solid">
        <x:fgColor rgb="FFFEF3C7"/>
      </x:patternFill>
    </x:fill>
  </x:fills>
  <x:borders count="11">
    <x:border/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6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5" borderId="0" xfId="0" applyNumberFormat="1" applyFont="1" applyFill="1" applyBorder="1"/>
    <x:xf numFmtId="0" fontId="4" fillId="4" borderId="1" xfId="0" applyNumberFormat="1" applyFont="1" applyFill="1" applyBorder="1"/>
    <x:xf numFmtId="0" fontId="1" fillId="5" borderId="1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1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/>
    <x:xf numFmtId="0" fontId="1" fillId="8" borderId="0" xfId="0" applyNumberFormat="1" applyFont="1" applyFill="1" applyBorder="1"/>
    <x:xf numFmtId="0" fontId="10" fillId="8" borderId="0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9" fillId="3" borderId="1" xfId="0" applyNumberFormat="1" applyFont="1" applyFill="1" applyBorder="1"/>
    <x:xf numFmtId="0" fontId="10" fillId="8" borderId="1" xfId="0" applyNumberFormat="1" applyFont="1" applyFill="1" applyBorder="1"/>
    <x:xf numFmtId="200" fontId="9" fillId="3" borderId="1" xfId="0" applyNumberFormat="1" applyFont="1" applyFill="1" applyBorder="1"/>
    <x:xf numFmtId="200" fontId="10" fillId="8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2" xfId="0" applyNumberFormat="1" applyFont="1" applyFill="1" applyBorder="1" applyAlignment="1">
      <x:alignment vertical="top"/>
    </x:xf>
    <x:xf numFmtId="0" fontId="1" fillId="0" borderId="3" xfId="0" applyNumberFormat="1" applyFont="1" applyFill="1" applyBorder="1" applyAlignment="1">
      <x:alignment vertical="top"/>
    </x:xf>
    <x:xf numFmtId="0" fontId="1" fillId="0" borderId="4" xfId="0" applyNumberFormat="1" applyFont="1" applyFill="1" applyBorder="1" applyAlignment="1">
      <x:alignment vertical="top"/>
    </x:xf>
    <x:xf numFmtId="0" fontId="1" fillId="0" borderId="5" xfId="0" applyNumberFormat="1" applyFont="1" applyFill="1" applyBorder="1" applyAlignment="1">
      <x:alignment vertical="top"/>
    </x:xf>
    <x:xf numFmtId="0" fontId="1" fillId="0" borderId="6" xfId="0" applyNumberFormat="1" applyFont="1" applyFill="1" applyBorder="1" applyAlignment="1">
      <x:alignment vertical="top"/>
    </x:xf>
    <x:xf numFmtId="0" fontId="1" fillId="0" borderId="7" xfId="0" applyNumberFormat="1" applyFont="1" applyFill="1" applyBorder="1" applyAlignment="1">
      <x:alignment vertical="top"/>
    </x:xf>
    <x:xf numFmtId="0" fontId="1" fillId="0" borderId="8" xfId="0" applyNumberFormat="1" applyFont="1" applyFill="1" applyBorder="1" applyAlignment="1">
      <x:alignment vertical="top"/>
    </x:xf>
    <x:xf numFmtId="0" fontId="1" fillId="0" borderId="9" xfId="0" applyNumberFormat="1" applyFont="1" applyFill="1" applyBorder="1" applyAlignment="1">
      <x:alignment vertical="top"/>
    </x:xf>
    <x:xf numFmtId="0" fontId="1" fillId="0" borderId="10" xfId="0" applyNumberFormat="1" applyFont="1" applyFill="1" applyBorder="1" applyAlignment="1">
      <x:alignment vertical="top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200" fontId="1" fillId="0" borderId="3" xfId="0" applyNumberFormat="1" applyFont="1" applyFill="1" applyBorder="1" applyAlignment="1">
      <x:alignment vertical="top"/>
    </x:xf>
    <x:xf numFmtId="200" fontId="1" fillId="0" borderId="6" xfId="0" applyNumberFormat="1" applyFont="1" applyFill="1" applyBorder="1" applyAlignment="1">
      <x:alignment vertical="top"/>
    </x:xf>
    <x:xf numFmtId="200" fontId="1" fillId="0" borderId="9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e8bfc72daf48ea" /><Relationship Type="http://schemas.openxmlformats.org/officeDocument/2006/relationships/theme" Target="/xl/theme/theme1.xml" Id="Rb136e4a94b054da9" /><Relationship Type="http://schemas.openxmlformats.org/officeDocument/2006/relationships/sharedStrings" Target="/xl/sharedStrings.xml" Id="Rc150b18f1b9540a4" /><Relationship Type="http://schemas.openxmlformats.org/officeDocument/2006/relationships/worksheet" Target="/xl/worksheets/sheet1.xml" Id="R259d28012c0d4858" /><Relationship Type="http://schemas.openxmlformats.org/officeDocument/2006/relationships/worksheet" Target="/xl/worksheets/sheet2.xml" Id="Rf513a1d751a44446" /><Relationship Type="http://schemas.openxmlformats.org/officeDocument/2006/relationships/worksheet" Target="/xl/worksheets/sheet3.xml" Id="R8efe7e9b55a54e57" /><Relationship Type="http://schemas.openxmlformats.org/officeDocument/2006/relationships/worksheet" Target="/xl/worksheets/sheet4.xml" Id="Rd37ca24d216243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0922cb818e7428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Current Universe vs Candidate Depth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Current</c:v>
          </c:tx>
          <c:cat>
            <c:strRef>
              <c:f>'Cohort Summary'!$A$5:$A$12</c:f>
              <c:strCache>
                <c:ptCount val="0"/>
              </c:strCache>
            </c:strRef>
          </c:cat>
          <c:val>
            <c:numRef>
              <c:f>'Cohort Summary'!$B$5:$B$12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Candidates</c:v>
          </c:tx>
          <c:cat>
            <c:strRef>
              <c:f>'Cohort Summary'!$A$5:$A$12</c:f>
              <c:strCache>
                <c:ptCount val="0"/>
              </c:strCache>
            </c:strRef>
          </c:cat>
          <c:val>
            <c:numRef>
              <c:f>'Cohort Summary'!$C$5:$C$12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922cb818e7428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activatedCandidatesTable" displayName="DeactivatedCandidatesTable" ref="A1:X73" headerRowCount="1" totalsRowCount="0" totalsRowShown="0">
  <x:tableColumns count="24">
    <x:tableColumn id="1" name="sector"/>
    <x:tableColumn id="2" name="cohort"/>
    <x:tableColumn id="3" name="historical_ticker"/>
    <x:tableColumn id="4" name="provider_symbol"/>
    <x:tableColumn id="5" name="provider_asset_id"/>
    <x:tableColumn id="6" name="company_name"/>
    <x:tableColumn id="7" name="provider_industry"/>
    <x:tableColumn id="8" name="first_quoted_date"/>
    <x:tableColumn id="9" name="provider_last_quoted_date"/>
    <x:tableColumn id="10" name="expected_terminal_type"/>
    <x:tableColumn id="11" name="expected_event_date"/>
    <x:tableColumn id="12" name="expected_counterparty"/>
    <x:tableColumn id="13" name="successor_ticker"/>
    <x:tableColumn id="14" name="candidate_tier"/>
    <x:tableColumn id="15" name="review_status"/>
    <x:tableColumn id="16" name="event_reconciliation_status"/>
    <x:tableColumn id="17" name="pit_membership_status"/>
    <x:tableColumn id="18" name="terminal_value_status"/>
    <x:tableColumn id="19" name="include_in_historical_universe"/>
    <x:tableColumn id="20" name="calibration_eligible"/>
    <x:tableColumn id="21" name="discovery_source"/>
    <x:tableColumn id="22" name="event_source_url"/>
    <x:tableColumn id="23" name="selection_rationale"/>
    <x:tableColumn id="2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fd7a6db8e8b4c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fab17fc4a5246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4" t="str">
        <x:v>Basic Materials — Deactivated Company Calibration Review</x:v>
      </x:c>
      <x:c r="B1" s="4"/>
      <x:c r="C1" s="4"/>
      <x:c r="D1" s="4"/>
      <x:c r="E1" s="4"/>
      <x:c r="F1" s="4"/>
      <x:c r="G1" s="4"/>
      <x:c r="H1" s="4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</x:row>
    <x:row r="2" ht="34" customHeight="1">
      <x:c r="A2" s="4"/>
      <x:c r="B2" s="4"/>
      <x:c r="C2" s="4"/>
      <x:c r="D2" s="4"/>
      <x:c r="E2" s="4"/>
      <x:c r="F2" s="4"/>
      <x:c r="G2" s="4"/>
      <x:c r="H2" s="4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</x:row>
    <x:row r="4" ht="22" customHeight="1">
      <x:c r="A4" s="6" t="str">
        <x:v>Stage 2B candidate census • as of 2026-09-05 • review-gated and fail-closed</x:v>
      </x:c>
      <x:c r="B4" s="6"/>
      <x:c r="C4" s="6"/>
      <x:c r="D4" s="6"/>
      <x:c r="E4" s="6"/>
      <x:c r="F4" s="6"/>
      <x:c r="G4" s="6"/>
      <x:c r="H4" s="6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</x:row>
    <x:row r="6" ht="22" customHeight="1">
      <x:c r="A6" s="10" t="str">
        <x:v>Control</x:v>
      </x:c>
      <x:c r="B6" s="10" t="str">
        <x:v>Value</x:v>
      </x:c>
      <x:c r="C6" s="1"/>
      <x:c r="D6" s="16" t="str">
        <x:v>CALIBRATION BLOCKED BY DESIGN</x:v>
      </x:c>
      <x:c r="E6" s="16"/>
      <x:c r="F6" s="16"/>
      <x:c r="G6" s="16"/>
      <x:c r="H6" s="1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</x:row>
    <x:row r="7" ht="22" customHeight="1">
      <x:c r="A7" s="11" t="str">
        <x:v>Candidate securities</x:v>
      </x:c>
      <x:c r="B7" s="13" t="n">
        <x:f>'Cohort Summary'!C14</x:f>
        <x:v>72</x:v>
      </x:c>
      <x:c r="C7" s="1"/>
      <x:c r="D7" s="16"/>
      <x:c r="E7" s="16"/>
      <x:c r="F7" s="16"/>
      <x:c r="G7" s="16"/>
      <x:c r="H7" s="16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</x:row>
    <x:row r="8" ht="22" customHeight="1">
      <x:c r="A8" s="11" t="str">
        <x:v>Exact cohorts represented</x:v>
      </x:c>
      <x:c r="B8" s="13" t="n">
        <x:v>8</x:v>
      </x:c>
      <x:c r="C8" s="1"/>
      <x:c r="D8" s="20" t="str">
        <x:v>These rows are a research queue only. A row can enter the historical universe only after provider identity, ticker/security aliases, point-in-time membership, corporate lineage, adjusted prices, and terminal value are independently reconciled and approved.</x:v>
      </x:c>
      <x:c r="E8" s="20"/>
      <x:c r="F8" s="20"/>
      <x:c r="G8" s="20"/>
      <x:c r="H8" s="20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</x:row>
    <x:row r="9" ht="22" customHeight="1">
      <x:c r="A9" s="11" t="str">
        <x:v>Tier 1 candidates</x:v>
      </x:c>
      <x:c r="B9" s="13" t="n">
        <x:f>'Cohort Summary'!D13</x:f>
        <x:v>55</x:v>
      </x:c>
      <x:c r="C9" s="1"/>
      <x:c r="D9" s="20"/>
      <x:c r="E9" s="20"/>
      <x:c r="F9" s="20"/>
      <x:c r="G9" s="20"/>
      <x:c r="H9" s="20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</x:row>
    <x:row r="10" ht="22" customHeight="1">
      <x:c r="A10" s="11" t="str">
        <x:v>Rows with an event-source URL</x:v>
      </x:c>
      <x:c r="B10" s="13" t="n">
        <x:f>'Cohort Summary'!F13</x:f>
        <x:v>16</x:v>
      </x:c>
      <x:c r="C10" s="1"/>
      <x:c r="D10" s="20"/>
      <x:c r="E10" s="20"/>
      <x:c r="F10" s="20"/>
      <x:c r="G10" s="20"/>
      <x:c r="H10" s="2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</x:row>
    <x:row r="11" ht="22" customHeight="1">
      <x:c r="A11" s="11" t="str">
        <x:v>Provider mappings blocked</x:v>
      </x:c>
      <x:c r="B11" s="13" t="n">
        <x:f>'Cohort Summary'!G13</x:f>
        <x:v>1</x:v>
      </x:c>
      <x:c r="C11" s="1"/>
      <x:c r="D11" s="20"/>
      <x:c r="E11" s="20"/>
      <x:c r="F11" s="20"/>
      <x:c r="G11" s="20"/>
      <x:c r="H11" s="20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</x:row>
    <x:row r="12" ht="22" customHeight="1">
      <x:c r="A12" s="11" t="str">
        <x:v>Calibration-eligible rows</x:v>
      </x:c>
      <x:c r="B12" s="13" t="n">
        <x:f>'Cohort Summary'!H13</x:f>
        <x:v>0</x:v>
      </x:c>
      <x:c r="C12" s="1"/>
      <x:c r="D12" s="20"/>
      <x:c r="E12" s="20"/>
      <x:c r="F12" s="20"/>
      <x:c r="G12" s="20"/>
      <x:c r="H12" s="20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</x:row>
    <x:row r="15" ht="22" customHeight="1">
      <x:c r="A15" s="21" t="str">
        <x:v>Recommended review order</x:v>
      </x:c>
      <x:c r="B15" s="21"/>
      <x:c r="C15" s="21"/>
      <x:c r="D15" s="21"/>
      <x:c r="E15" s="21"/>
      <x:c r="F15" s="21"/>
      <x:c r="G15" s="21"/>
      <x:c r="H15" s="21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</x:row>
    <x:row r="16" ht="22" customHeight="1">
      <x:c r="A16" s="24" t="str">
        <x:v>1</x:v>
      </x:c>
      <x:c r="B16" s="25" t="str">
        <x:v>Resolve the provider asset and all ticker/security aliases</x:v>
      </x:c>
      <x:c r="C16" s="25"/>
      <x:c r="D16" s="25"/>
      <x:c r="E16" s="25"/>
      <x:c r="F16" s="25"/>
      <x:c r="G16" s="25"/>
      <x:c r="H16" s="25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</x:row>
    <x:row r="17" ht="22" customHeight="1">
      <x:c r="A17" s="24" t="str">
        <x:v>2</x:v>
      </x:c>
      <x:c r="B17" s="25" t="str">
        <x:v>Reconstruct effective-dated cohort and listing membership</x:v>
      </x:c>
      <x:c r="C17" s="25"/>
      <x:c r="D17" s="25"/>
      <x:c r="E17" s="25"/>
      <x:c r="F17" s="25"/>
      <x:c r="G17" s="25"/>
      <x:c r="H17" s="25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</x:row>
    <x:row r="18" ht="22" customHeight="1">
      <x:c r="A18" s="24" t="str">
        <x:v>3</x:v>
      </x:c>
      <x:c r="B18" s="25" t="str">
        <x:v>Verify the terminal event from a primary filing or issuer release</x:v>
      </x:c>
      <x:c r="C18" s="25"/>
      <x:c r="D18" s="25"/>
      <x:c r="E18" s="25"/>
      <x:c r="F18" s="25"/>
      <x:c r="G18" s="25"/>
      <x:c r="H18" s="25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</x:row>
    <x:row r="19" ht="22" customHeight="1">
      <x:c r="A19" s="24" t="str">
        <x:v>4</x:v>
      </x:c>
      <x:c r="B19" s="25" t="str">
        <x:v>Reconcile cash stock CVR and successor-security consideration</x:v>
      </x:c>
      <x:c r="C19" s="25"/>
      <x:c r="D19" s="25"/>
      <x:c r="E19" s="25"/>
      <x:c r="F19" s="25"/>
      <x:c r="G19" s="25"/>
      <x:c r="H19" s="25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</x:row>
    <x:row r="20" ht="22" customHeight="1">
      <x:c r="A20" s="24" t="str">
        <x:v>5</x:v>
      </x:c>
      <x:c r="B20" s="25" t="str">
        <x:v>Validate adjusted-price history through the terminal date</x:v>
      </x:c>
      <x:c r="C20" s="25"/>
      <x:c r="D20" s="25"/>
      <x:c r="E20" s="25"/>
      <x:c r="F20" s="25"/>
      <x:c r="G20" s="25"/>
      <x:c r="H20" s="25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</x:row>
    <x:row r="21" ht="22" customHeight="1">
      <x:c r="A21" s="24" t="str">
        <x:v>6</x:v>
      </x:c>
      <x:c r="B21" s="25" t="str">
        <x:v>Confirm point-in-time financial and specialized-metric coverage</x:v>
      </x:c>
      <x:c r="C21" s="25"/>
      <x:c r="D21" s="25"/>
      <x:c r="E21" s="25"/>
      <x:c r="F21" s="25"/>
      <x:c r="G21" s="25"/>
      <x:c r="H21" s="25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</x:row>
    <x:row r="22" ht="22" customHeight="1">
      <x:c r="A22" s="24" t="str">
        <x:v>7</x:v>
      </x:c>
      <x:c r="B22" s="25" t="str">
        <x:v>Approve historical membership before setting either gate to 1</x:v>
      </x:c>
      <x:c r="C22" s="25"/>
      <x:c r="D22" s="25"/>
      <x:c r="E22" s="25"/>
      <x:c r="F22" s="25"/>
      <x:c r="G22" s="25"/>
      <x:c r="H22" s="25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</x:row>
  </x:sheetData>
  <x:mergeCells>
    <x:mergeCell ref="A1:H2"/>
    <x:mergeCell ref="A4:H4"/>
    <x:mergeCell ref="D6:H7"/>
    <x:mergeCell ref="D8:H12"/>
    <x:mergeCell ref="A15:H15"/>
    <x:mergeCell ref="B16:H16"/>
    <x:mergeCell ref="B17:H17"/>
    <x:mergeCell ref="B18:H18"/>
    <x:mergeCell ref="B19:H19"/>
    <x:mergeCell ref="B20:H20"/>
    <x:mergeCell ref="B21:H21"/>
    <x:mergeCell ref="B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7" t="str">
        <x:v>Cohort Coverage and Review Readiness</x:v>
      </x:c>
      <x:c r="B1" s="27"/>
      <x:c r="C1" s="27"/>
      <x:c r="D1" s="27"/>
      <x:c r="E1" s="27"/>
      <x:c r="F1" s="27"/>
      <x:c r="G1" s="27"/>
      <x:c r="H1" s="27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/>
      <x:c r="T1"/>
      <x:c r="U1"/>
      <x:c r="V1"/>
      <x:c r="W1"/>
      <x:c r="X1"/>
    </x:row>
    <x:row r="2">
      <x:c r="A2" s="27"/>
      <x:c r="B2" s="27"/>
      <x:c r="C2" s="27"/>
      <x:c r="D2" s="27"/>
      <x:c r="E2" s="27"/>
      <x:c r="F2" s="27"/>
      <x:c r="G2" s="27"/>
      <x:c r="H2" s="27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/>
      <x:c r="T2"/>
      <x:c r="U2"/>
      <x:c r="V2"/>
      <x:c r="W2"/>
      <x:c r="X2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/>
      <x:c r="T3"/>
      <x:c r="U3"/>
      <x:c r="V3"/>
      <x:c r="W3"/>
      <x:c r="X3"/>
    </x:row>
    <x:row r="4">
      <x:c r="A4" s="32" t="str">
        <x:v>Cohort</x:v>
      </x:c>
      <x:c r="B4" s="32" t="str">
        <x:v>Current</x:v>
      </x:c>
      <x:c r="C4" s="32" t="str">
        <x:v>Candidates</x:v>
      </x:c>
      <x:c r="D4" s="32" t="str">
        <x:v>Tier 1</x:v>
      </x:c>
      <x:c r="E4" s="32" t="str">
        <x:v>Tier 2</x:v>
      </x:c>
      <x:c r="F4" s="32" t="str">
        <x:v>Event URLs</x:v>
      </x:c>
      <x:c r="G4" s="32" t="str">
        <x:v>Provider blocked</x:v>
      </x:c>
      <x:c r="H4" s="32" t="str">
        <x:v>Calibration eligible</x:v>
      </x:c>
      <x:c r="I4" s="1"/>
      <x:c r="J4" s="1"/>
      <x:c r="K4" s="1"/>
      <x:c r="L4" s="1"/>
      <x:c r="M4" s="1"/>
      <x:c r="N4" s="1"/>
      <x:c r="O4" s="1"/>
      <x:c r="P4" s="1"/>
      <x:c r="Q4" s="1"/>
      <x:c r="R4" s="1"/>
      <x:c r="S4"/>
      <x:c r="T4"/>
      <x:c r="U4"/>
      <x:c r="V4"/>
      <x:c r="W4"/>
      <x:c r="X4"/>
    </x:row>
    <x:row r="5">
      <x:c r="A5" s="12" t="str">
        <x:v>agricultural_inputs_crop_science</x:v>
      </x:c>
      <x:c r="B5" s="13" t="n">
        <x:v>11</x:v>
      </x:c>
      <x:c r="C5" s="13" t="n">
        <x:f>COUNTIF('Candidate Census'!$B$2:$B$73,A5)</x:f>
        <x:v>9</x:v>
      </x:c>
      <x:c r="D5" s="13" t="n">
        <x:f>COUNTIFS('Candidate Census'!$B$2:$B$73,A5,'Candidate Census'!$N$2:$N$73,1)</x:f>
        <x:v>8</x:v>
      </x:c>
      <x:c r="E5" s="13" t="n">
        <x:f>COUNTIFS('Candidate Census'!$B$2:$B$73,A5,'Candidate Census'!$N$2:$N$73,2)</x:f>
        <x:v>1</x:v>
      </x:c>
      <x:c r="F5" s="13" t="n">
        <x:v>0</x:v>
      </x:c>
      <x:c r="G5" s="13" t="n">
        <x:f>COUNTIFS('Candidate Census'!$B$2:$B$73,A5,'Candidate Census'!$P$2:$P$73,"provider_mapping_blocked")</x:f>
        <x:v>0</x:v>
      </x:c>
      <x:c r="H5" s="13" t="n">
        <x:f>SUMIFS('Candidate Census'!$T$2:$T$73,'Candidate Census'!$B$2:$B$73,A5)</x:f>
        <x:v>0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/>
      <x:c r="T5"/>
      <x:c r="U5"/>
      <x:c r="V5"/>
      <x:c r="W5"/>
      <x:c r="X5"/>
    </x:row>
    <x:row r="6">
      <x:c r="A6" s="12" t="str">
        <x:v>building_materials</x:v>
      </x:c>
      <x:c r="B6" s="13" t="n">
        <x:v>12</x:v>
      </x:c>
      <x:c r="C6" s="13" t="n">
        <x:f>COUNTIF('Candidate Census'!$B$2:$B$73,A6)</x:f>
        <x:v>10</x:v>
      </x:c>
      <x:c r="D6" s="13" t="n">
        <x:f>COUNTIFS('Candidate Census'!$B$2:$B$73,A6,'Candidate Census'!$N$2:$N$73,1)</x:f>
        <x:v>8</x:v>
      </x:c>
      <x:c r="E6" s="13" t="n">
        <x:f>COUNTIFS('Candidate Census'!$B$2:$B$73,A6,'Candidate Census'!$N$2:$N$73,2)</x:f>
        <x:v>2</x:v>
      </x:c>
      <x:c r="F6" s="13" t="n">
        <x:v>0</x:v>
      </x:c>
      <x:c r="G6" s="13" t="n">
        <x:f>COUNTIFS('Candidate Census'!$B$2:$B$73,A6,'Candidate Census'!$P$2:$P$73,"provider_mapping_blocked")</x:f>
        <x:v>0</x:v>
      </x:c>
      <x:c r="H6" s="13" t="n">
        <x:f>SUMIFS('Candidate Census'!$T$2:$T$73,'Candidate Census'!$B$2:$B$73,A6)</x:f>
        <x:v>0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/>
      <x:c r="T6"/>
      <x:c r="U6"/>
      <x:c r="V6"/>
      <x:c r="W6"/>
      <x:c r="X6"/>
    </x:row>
    <x:row r="7">
      <x:c r="A7" s="12" t="str">
        <x:v>commodity_chemicals</x:v>
      </x:c>
      <x:c r="B7" s="13" t="n">
        <x:v>12</x:v>
      </x:c>
      <x:c r="C7" s="13" t="n">
        <x:f>COUNTIF('Candidate Census'!$B$2:$B$73,A7)</x:f>
        <x:v>7</x:v>
      </x:c>
      <x:c r="D7" s="13" t="n">
        <x:f>COUNTIFS('Candidate Census'!$B$2:$B$73,A7,'Candidate Census'!$N$2:$N$73,1)</x:f>
        <x:v>4</x:v>
      </x:c>
      <x:c r="E7" s="13" t="n">
        <x:f>COUNTIFS('Candidate Census'!$B$2:$B$73,A7,'Candidate Census'!$N$2:$N$73,2)</x:f>
        <x:v>3</x:v>
      </x:c>
      <x:c r="F7" s="13" t="n">
        <x:v>1</x:v>
      </x:c>
      <x:c r="G7" s="13" t="n">
        <x:f>COUNTIFS('Candidate Census'!$B$2:$B$73,A7,'Candidate Census'!$P$2:$P$73,"provider_mapping_blocked")</x:f>
        <x:v>0</x:v>
      </x:c>
      <x:c r="H7" s="13" t="n">
        <x:f>SUMIFS('Candidate Census'!$T$2:$T$73,'Candidate Census'!$B$2:$B$73,A7)</x:f>
        <x:v>0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/>
      <x:c r="T7"/>
      <x:c r="U7"/>
      <x:c r="V7"/>
      <x:c r="W7"/>
      <x:c r="X7"/>
    </x:row>
    <x:row r="8">
      <x:c r="A8" s="12" t="str">
        <x:v>industrial_metals_mining</x:v>
      </x:c>
      <x:c r="B8" s="13" t="n">
        <x:v>11</x:v>
      </x:c>
      <x:c r="C8" s="13" t="n">
        <x:f>COUNTIF('Candidate Census'!$B$2:$B$73,A8)</x:f>
        <x:v>11</x:v>
      </x:c>
      <x:c r="D8" s="13" t="n">
        <x:f>COUNTIFS('Candidate Census'!$B$2:$B$73,A8,'Candidate Census'!$N$2:$N$73,1)</x:f>
        <x:v>8</x:v>
      </x:c>
      <x:c r="E8" s="13" t="n">
        <x:f>COUNTIFS('Candidate Census'!$B$2:$B$73,A8,'Candidate Census'!$N$2:$N$73,2)</x:f>
        <x:v>3</x:v>
      </x:c>
      <x:c r="F8" s="13" t="n">
        <x:v>4</x:v>
      </x:c>
      <x:c r="G8" s="13" t="n">
        <x:f>COUNTIFS('Candidate Census'!$B$2:$B$73,A8,'Candidate Census'!$P$2:$P$73,"provider_mapping_blocked")</x:f>
        <x:v>0</x:v>
      </x:c>
      <x:c r="H8" s="13" t="n">
        <x:f>SUMIFS('Candidate Census'!$T$2:$T$73,'Candidate Census'!$B$2:$B$73,A8)</x:f>
        <x:v>0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/>
      <x:c r="T8"/>
      <x:c r="U8"/>
      <x:c r="V8"/>
      <x:c r="W8"/>
      <x:c r="X8"/>
    </x:row>
    <x:row r="9">
      <x:c r="A9" s="12" t="str">
        <x:v>mining_royalty_streaming</x:v>
      </x:c>
      <x:c r="B9" s="13" t="n">
        <x:v>10</x:v>
      </x:c>
      <x:c r="C9" s="13" t="n">
        <x:f>COUNTIF('Candidate Census'!$B$2:$B$73,A9)</x:f>
        <x:v>4</x:v>
      </x:c>
      <x:c r="D9" s="13" t="n">
        <x:f>COUNTIFS('Candidate Census'!$B$2:$B$73,A9,'Candidate Census'!$N$2:$N$73,1)</x:f>
        <x:v>3</x:v>
      </x:c>
      <x:c r="E9" s="13" t="n">
        <x:f>COUNTIFS('Candidate Census'!$B$2:$B$73,A9,'Candidate Census'!$N$2:$N$73,2)</x:f>
        <x:v>1</x:v>
      </x:c>
      <x:c r="F9" s="13" t="n">
        <x:v>4</x:v>
      </x:c>
      <x:c r="G9" s="13" t="n">
        <x:f>COUNTIFS('Candidate Census'!$B$2:$B$73,A9,'Candidate Census'!$P$2:$P$73,"provider_mapping_blocked")</x:f>
        <x:v>1</x:v>
      </x:c>
      <x:c r="H9" s="13" t="n">
        <x:f>SUMIFS('Candidate Census'!$T$2:$T$73,'Candidate Census'!$B$2:$B$73,A9)</x:f>
        <x:v>0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/>
      <x:c r="T9"/>
      <x:c r="U9"/>
      <x:c r="V9"/>
      <x:c r="W9"/>
      <x:c r="X9"/>
    </x:row>
    <x:row r="10">
      <x:c r="A10" s="12" t="str">
        <x:v>precious_metals_producers</x:v>
      </x:c>
      <x:c r="B10" s="13" t="n">
        <x:v>30</x:v>
      </x:c>
      <x:c r="C10" s="13" t="n">
        <x:f>COUNTIF('Candidate Census'!$B$2:$B$73,A10)</x:f>
        <x:v>13</x:v>
      </x:c>
      <x:c r="D10" s="13" t="n">
        <x:f>COUNTIFS('Candidate Census'!$B$2:$B$73,A10,'Candidate Census'!$N$2:$N$73,1)</x:f>
        <x:v>8</x:v>
      </x:c>
      <x:c r="E10" s="13" t="n">
        <x:f>COUNTIFS('Candidate Census'!$B$2:$B$73,A10,'Candidate Census'!$N$2:$N$73,2)</x:f>
        <x:v>5</x:v>
      </x:c>
      <x:c r="F10" s="13" t="n">
        <x:v>2</x:v>
      </x:c>
      <x:c r="G10" s="13" t="n">
        <x:f>COUNTIFS('Candidate Census'!$B$2:$B$73,A10,'Candidate Census'!$P$2:$P$73,"provider_mapping_blocked")</x:f>
        <x:v>0</x:v>
      </x:c>
      <x:c r="H10" s="13" t="n">
        <x:f>SUMIFS('Candidate Census'!$T$2:$T$73,'Candidate Census'!$B$2:$B$73,A10)</x:f>
        <x:v>0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/>
      <x:c r="T10"/>
      <x:c r="U10"/>
      <x:c r="V10"/>
      <x:c r="W10"/>
      <x:c r="X10"/>
    </x:row>
    <x:row r="11">
      <x:c r="A11" s="12" t="str">
        <x:v>specialty_chemicals_materials</x:v>
      </x:c>
      <x:c r="B11" s="13" t="n">
        <x:v>37</x:v>
      </x:c>
      <x:c r="C11" s="13" t="n">
        <x:f>COUNTIF('Candidate Census'!$B$2:$B$73,A11)</x:f>
        <x:v>10</x:v>
      </x:c>
      <x:c r="D11" s="13" t="n">
        <x:f>COUNTIFS('Candidate Census'!$B$2:$B$73,A11,'Candidate Census'!$N$2:$N$73,1)</x:f>
        <x:v>10</x:v>
      </x:c>
      <x:c r="E11" s="13" t="n">
        <x:f>COUNTIFS('Candidate Census'!$B$2:$B$73,A11,'Candidate Census'!$N$2:$N$73,2)</x:f>
        <x:v>0</x:v>
      </x:c>
      <x:c r="F11" s="13" t="n">
        <x:v>0</x:v>
      </x:c>
      <x:c r="G11" s="13" t="n">
        <x:f>COUNTIFS('Candidate Census'!$B$2:$B$73,A11,'Candidate Census'!$P$2:$P$73,"provider_mapping_blocked")</x:f>
        <x:v>0</x:v>
      </x:c>
      <x:c r="H11" s="13" t="n">
        <x:f>SUMIFS('Candidate Census'!$T$2:$T$73,'Candidate Census'!$B$2:$B$73,A11)</x:f>
        <x:v>0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/>
      <x:c r="T11"/>
      <x:c r="U11"/>
      <x:c r="V11"/>
      <x:c r="W11"/>
      <x:c r="X11"/>
    </x:row>
    <x:row r="12">
      <x:c r="A12" s="12" t="str">
        <x:v>steel_producers_processors</x:v>
      </x:c>
      <x:c r="B12" s="13" t="n">
        <x:v>11</x:v>
      </x:c>
      <x:c r="C12" s="13" t="n">
        <x:f>COUNTIF('Candidate Census'!$B$2:$B$73,A12)</x:f>
        <x:v>8</x:v>
      </x:c>
      <x:c r="D12" s="13" t="n">
        <x:f>COUNTIFS('Candidate Census'!$B$2:$B$73,A12,'Candidate Census'!$N$2:$N$73,1)</x:f>
        <x:v>6</x:v>
      </x:c>
      <x:c r="E12" s="13" t="n">
        <x:f>COUNTIFS('Candidate Census'!$B$2:$B$73,A12,'Candidate Census'!$N$2:$N$73,2)</x:f>
        <x:v>2</x:v>
      </x:c>
      <x:c r="F12" s="13" t="n">
        <x:v>5</x:v>
      </x:c>
      <x:c r="G12" s="13" t="n">
        <x:f>COUNTIFS('Candidate Census'!$B$2:$B$73,A12,'Candidate Census'!$P$2:$P$73,"provider_mapping_blocked")</x:f>
        <x:v>0</x:v>
      </x:c>
      <x:c r="H12" s="13" t="n">
        <x:f>SUMIFS('Candidate Census'!$T$2:$T$73,'Candidate Census'!$B$2:$B$73,A12)</x:f>
        <x:v>0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/>
      <x:c r="T12"/>
      <x:c r="U12"/>
      <x:c r="V12"/>
      <x:c r="W12"/>
      <x:c r="X12"/>
    </x:row>
    <x:row r="13">
      <x:c r="A13" s="33" t="str">
        <x:v>TOTAL</x:v>
      </x:c>
      <x:c r="B13" s="35" t="n">
        <x:f>SUM(B5:B12)</x:f>
        <x:v>134</x:v>
      </x:c>
      <x:c r="C13" s="35" t="n">
        <x:f>SUM(C5:C12)</x:f>
        <x:v>72</x:v>
      </x:c>
      <x:c r="D13" s="35" t="n">
        <x:f>SUM(D5:D12)</x:f>
        <x:v>55</x:v>
      </x:c>
      <x:c r="E13" s="35" t="n">
        <x:f>SUM(E5:E12)</x:f>
        <x:v>17</x:v>
      </x:c>
      <x:c r="F13" s="35" t="n">
        <x:f>SUM(F5:F12)</x:f>
        <x:v>16</x:v>
      </x:c>
      <x:c r="G13" s="35" t="n">
        <x:f>SUM(G5:G12)</x:f>
        <x:v>1</x:v>
      </x:c>
      <x:c r="H13" s="35" t="n">
        <x:f>SUM(H5:H12)</x:f>
        <x:v>0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/>
      <x:c r="T13"/>
      <x:c r="U13"/>
      <x:c r="V13"/>
      <x:c r="W13"/>
      <x:c r="X13"/>
    </x:row>
    <x:row r="14">
      <x:c r="A14" s="34" t="str">
        <x:v>CONTROL TOTAL</x:v>
      </x:c>
      <x:c r="B14" s="36" t="n">
        <x:v>134</x:v>
      </x:c>
      <x:c r="C14" s="36" t="n">
        <x:v>72</x:v>
      </x:c>
      <x:c r="D14" s="36" t="n">
        <x:v>55</x:v>
      </x:c>
      <x:c r="E14" s="36" t="n">
        <x:v>17</x:v>
      </x:c>
      <x:c r="F14" s="36" t="n">
        <x:v>16</x:v>
      </x:c>
      <x:c r="G14" s="36" t="n">
        <x:v>1</x:v>
      </x:c>
      <x:c r="H14" s="36" t="n">
        <x:v>0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/>
      <x:c r="T14"/>
      <x:c r="U14"/>
      <x:c r="V14"/>
      <x:c r="W14"/>
      <x:c r="X14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/>
      <x:c r="T15"/>
      <x:c r="U15"/>
      <x:c r="V15"/>
      <x:c r="W15"/>
      <x:c r="X15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/>
      <x:c r="T16"/>
      <x:c r="U16"/>
      <x:c r="V16"/>
      <x:c r="W16"/>
      <x:c r="X16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/>
      <x:c r="T17"/>
      <x:c r="U17"/>
      <x:c r="V17"/>
      <x:c r="W17"/>
      <x:c r="X17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/>
      <x:c r="T18"/>
      <x:c r="U18"/>
      <x:c r="V18"/>
      <x:c r="W18"/>
      <x:c r="X18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/>
      <x:c r="T19"/>
      <x:c r="U19"/>
      <x:c r="V19"/>
      <x:c r="W19"/>
      <x:c r="X19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/>
      <x:c r="T20"/>
      <x:c r="U20"/>
      <x:c r="V20"/>
      <x:c r="W20"/>
      <x:c r="X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</x:row>
  </x:sheetData>
  <x:mergeCells>
    <x:mergeCell ref="A1:H2"/>
  </x:mergeCells>
  <x:conditionalFormatting sqref="H5:H14">
    <x:cfRule type="cellIs" dxfId="0" priority="1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8fd7a6db8e8b4c3e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6" hidden="0" customWidth="1"/>
    <x:col min="2" max="2" width="36" hidden="0" customWidth="1"/>
    <x:col min="3" max="3" width="15" hidden="0" customWidth="1"/>
    <x:col min="4" max="4" width="19" hidden="0" customWidth="1"/>
    <x:col min="5" max="5" width="15" hidden="0" customWidth="1"/>
    <x:col min="6" max="6" width="34" hidden="0" customWidth="1"/>
    <x:col min="7" max="7" width="28" hidden="0" customWidth="1"/>
    <x:col min="8" max="8" width="16" hidden="0" customWidth="1"/>
    <x:col min="9" max="9" width="16" hidden="0" customWidth="1"/>
    <x:col min="10" max="10" width="27" hidden="0" customWidth="1"/>
    <x:col min="11" max="11" width="16" hidden="0" customWidth="1"/>
    <x:col min="12" max="12" width="31" hidden="0" customWidth="1"/>
    <x:col min="13" max="13" width="16" hidden="0" customWidth="1"/>
    <x:col min="14" max="14" width="16" hidden="0" customWidth="1"/>
    <x:col min="15" max="15" width="27" hidden="0" customWidth="1"/>
    <x:col min="16" max="16" width="27" hidden="0" customWidth="1"/>
    <x:col min="17" max="17" width="27" hidden="0" customWidth="1"/>
    <x:col min="18" max="18" width="27" hidden="0" customWidth="1"/>
    <x:col min="19" max="19" width="22" hidden="0" customWidth="1"/>
    <x:col min="20" max="20" width="22" hidden="0" customWidth="1"/>
    <x:col min="21" max="21" width="36" hidden="0" customWidth="1"/>
    <x:col min="22" max="22" width="50" hidden="0" customWidth="1"/>
    <x:col min="23" max="23" width="48" hidden="0" customWidth="1"/>
    <x:col min="24" max="24" width="58" hidden="0" customWidth="1"/>
  </x:cols>
  <x:sheetData>
    <x:row r="1" ht="42" customHeight="1">
      <x:c r="A1" s="39" t="str">
        <x:v>sector</x:v>
      </x:c>
      <x:c r="B1" s="39" t="str">
        <x:v>cohort</x:v>
      </x:c>
      <x:c r="C1" s="39" t="str">
        <x:v>historical_ticker</x:v>
      </x:c>
      <x:c r="D1" s="39" t="str">
        <x:v>provider_symbol</x:v>
      </x:c>
      <x:c r="E1" s="39" t="str">
        <x:v>provider_asset_id</x:v>
      </x:c>
      <x:c r="F1" s="39" t="str">
        <x:v>company_name</x:v>
      </x:c>
      <x:c r="G1" s="39" t="str">
        <x:v>provider_industry</x:v>
      </x:c>
      <x:c r="H1" s="39" t="str">
        <x:v>first_quoted_date</x:v>
      </x:c>
      <x:c r="I1" s="39" t="str">
        <x:v>provider_last_quoted_date</x:v>
      </x:c>
      <x:c r="J1" s="39" t="str">
        <x:v>expected_terminal_type</x:v>
      </x:c>
      <x:c r="K1" s="39" t="str">
        <x:v>expected_event_date</x:v>
      </x:c>
      <x:c r="L1" s="39" t="str">
        <x:v>expected_counterparty</x:v>
      </x:c>
      <x:c r="M1" s="39" t="str">
        <x:v>successor_ticker</x:v>
      </x:c>
      <x:c r="N1" s="39" t="str">
        <x:v>candidate_tier</x:v>
      </x:c>
      <x:c r="O1" s="39" t="str">
        <x:v>review_status</x:v>
      </x:c>
      <x:c r="P1" s="39" t="str">
        <x:v>event_reconciliation_status</x:v>
      </x:c>
      <x:c r="Q1" s="39" t="str">
        <x:v>pit_membership_status</x:v>
      </x:c>
      <x:c r="R1" s="39" t="str">
        <x:v>terminal_value_status</x:v>
      </x:c>
      <x:c r="S1" s="39" t="str">
        <x:v>include_in_historical_universe</x:v>
      </x:c>
      <x:c r="T1" s="39" t="str">
        <x:v>calibration_eligible</x:v>
      </x:c>
      <x:c r="U1" s="39" t="str">
        <x:v>discovery_source</x:v>
      </x:c>
      <x:c r="V1" s="39" t="str">
        <x:v>event_source_url</x:v>
      </x:c>
      <x:c r="W1" s="39" t="str">
        <x:v>selection_rationale</x:v>
      </x:c>
      <x:c r="X1" s="39" t="str">
        <x:v>notes</x:v>
      </x:c>
    </x:row>
    <x:row r="2">
      <x:c r="A2" s="49" t="str">
        <x:v>Basic Materials</x:v>
      </x:c>
      <x:c r="B2" s="50" t="str">
        <x:v>steel_producers_processors</x:v>
      </x:c>
      <x:c r="C2" s="50" t="str">
        <x:v>AKS</x:v>
      </x:c>
      <x:c r="D2" s="50" t="str">
        <x:v>AKS-202003</x:v>
      </x:c>
      <x:c r="E2" s="50" t="n">
        <x:v>132198</x:v>
      </x:c>
      <x:c r="F2" s="50" t="str">
        <x:v>AK Steel Holding Corp</x:v>
      </x:c>
      <x:c r="G2" s="50" t="str">
        <x:v>Steel</x:v>
      </x:c>
      <x:c r="H2" s="50" t="str">
        <x:v>1994-03-30</x:v>
      </x:c>
      <x:c r="I2" s="50" t="str">
        <x:v>2020-03-12</x:v>
      </x:c>
      <x:c r="J2" s="50" t="str">
        <x:v>cash_and_stock_acquisition</x:v>
      </x:c>
      <x:c r="K2" s="50" t="str"/>
      <x:c r="L2" s="50" t="str">
        <x:v>Cleveland-Cliffs</x:v>
      </x:c>
      <x:c r="M2" s="50" t="str">
        <x:v>CLF</x:v>
      </x:c>
      <x:c r="N2" s="64" t="n">
        <x:v>1</x:v>
      </x:c>
      <x:c r="O2" s="50" t="str">
        <x:v>candidate_unapproved</x:v>
      </x:c>
      <x:c r="P2" s="50" t="str">
        <x:v>pending_primary_source</x:v>
      </x:c>
      <x:c r="Q2" s="50" t="str">
        <x:v>pending_reconstruction</x:v>
      </x:c>
      <x:c r="R2" s="50" t="str">
        <x:v>pending_reconciliation</x:v>
      </x:c>
      <x:c r="S2" s="64" t="n">
        <x:v>0</x:v>
      </x:c>
      <x:c r="T2" s="64" t="n">
        <x:v>0</x:v>
      </x:c>
      <x:c r="U2" s="58" t="str">
        <x:v>Norgate US Equities Delisted and Current &amp; Past watchlists</x:v>
      </x:c>
      <x:c r="V2" s="58" t="str"/>
      <x:c r="W2" s="58" t="str">
        <x:v>Representative steel-cycle history and a strategic acquisition outcome</x:v>
      </x:c>
      <x:c r="X2" s="59" t="str"/>
    </x:row>
    <x:row r="3">
      <x:c r="A3" s="52" t="str">
        <x:v>Basic Materials</x:v>
      </x:c>
      <x:c r="B3" s="53" t="str">
        <x:v>steel_producers_processors</x:v>
      </x:c>
      <x:c r="C3" s="53" t="str">
        <x:v>X</x:v>
      </x:c>
      <x:c r="D3" s="53" t="str">
        <x:v>X-202506</x:v>
      </x:c>
      <x:c r="E3" s="53" t="n">
        <x:v>129729</x:v>
      </x:c>
      <x:c r="F3" s="53" t="str">
        <x:v>United States Steel Corp</x:v>
      </x:c>
      <x:c r="G3" s="53" t="str">
        <x:v>Steel</x:v>
      </x:c>
      <x:c r="H3" s="53" t="str">
        <x:v>1991-04-12</x:v>
      </x:c>
      <x:c r="I3" s="53" t="str">
        <x:v>2025-06-17</x:v>
      </x:c>
      <x:c r="J3" s="53" t="str">
        <x:v>cash_acquisition</x:v>
      </x:c>
      <x:c r="K3" s="53" t="str">
        <x:v>2025-06-18</x:v>
      </x:c>
      <x:c r="L3" s="53" t="str">
        <x:v>Nippon Steel</x:v>
      </x:c>
      <x:c r="M3" s="53" t="str"/>
      <x:c r="N3" s="65" t="n">
        <x:v>1</x:v>
      </x:c>
      <x:c r="O3" s="53" t="str">
        <x:v>candidate_unapproved</x:v>
      </x:c>
      <x:c r="P3" s="53" t="str">
        <x:v>source_found_terminal_pending</x:v>
      </x:c>
      <x:c r="Q3" s="53" t="str">
        <x:v>pending_reconstruction</x:v>
      </x:c>
      <x:c r="R3" s="53" t="str">
        <x:v>pending_reconciliation</x:v>
      </x:c>
      <x:c r="S3" s="65" t="n">
        <x:v>0</x:v>
      </x:c>
      <x:c r="T3" s="65" t="n">
        <x:v>0</x:v>
      </x:c>
      <x:c r="U3" s="60" t="str">
        <x:v>Norgate US Equities Delisted and Current &amp; Past watchlists</x:v>
      </x:c>
      <x:c r="V3" s="60" t="str">
        <x:v>https://www.sec.gov/Archives/edgar/data/1163302/000110465925060674/tm2517314d1_8k.htm</x:v>
      </x:c>
      <x:c r="W3" s="60" t="str">
        <x:v>Long-cycle producer with recent clean deactivation and strong source coverage</x:v>
      </x:c>
      <x:c r="X3" s="61" t="str"/>
    </x:row>
    <x:row r="4">
      <x:c r="A4" s="52" t="str">
        <x:v>Basic Materials</x:v>
      </x:c>
      <x:c r="B4" s="53" t="str">
        <x:v>steel_producers_processors</x:v>
      </x:c>
      <x:c r="C4" s="53" t="str">
        <x:v>RDUS</x:v>
      </x:c>
      <x:c r="D4" s="53" t="str">
        <x:v>RDUS-202507</x:v>
      </x:c>
      <x:c r="E4" s="53" t="n">
        <x:v>140985</x:v>
      </x:c>
      <x:c r="F4" s="53" t="str">
        <x:v>Radius Recycling Inc</x:v>
      </x:c>
      <x:c r="G4" s="53" t="str">
        <x:v>Steel</x:v>
      </x:c>
      <x:c r="H4" s="53" t="str">
        <x:v>1993-11-16</x:v>
      </x:c>
      <x:c r="I4" s="53" t="str">
        <x:v>2025-07-10</x:v>
      </x:c>
      <x:c r="J4" s="53" t="str">
        <x:v>cash_acquisition</x:v>
      </x:c>
      <x:c r="K4" s="53" t="str">
        <x:v>2025-07-10</x:v>
      </x:c>
      <x:c r="L4" s="53" t="str">
        <x:v>Toyota Tsusho America</x:v>
      </x:c>
      <x:c r="M4" s="53" t="str"/>
      <x:c r="N4" s="65" t="n">
        <x:v>1</x:v>
      </x:c>
      <x:c r="O4" s="53" t="str">
        <x:v>candidate_unapproved</x:v>
      </x:c>
      <x:c r="P4" s="53" t="str">
        <x:v>source_found_terminal_pending</x:v>
      </x:c>
      <x:c r="Q4" s="53" t="str">
        <x:v>pending_reconstruction</x:v>
      </x:c>
      <x:c r="R4" s="53" t="str">
        <x:v>pending_reconciliation</x:v>
      </x:c>
      <x:c r="S4" s="65" t="n">
        <x:v>0</x:v>
      </x:c>
      <x:c r="T4" s="65" t="n">
        <x:v>0</x:v>
      </x:c>
      <x:c r="U4" s="60" t="str">
        <x:v>Norgate US Equities Delisted and Current &amp; Past watchlists</x:v>
      </x:c>
      <x:c r="V4" s="60" t="str">
        <x:v>https://www.sec.gov/ixviewer/ix.html?doc=/Archives/edgar/data/912603/000114036125025485/ef20051635_8k.htm</x:v>
      </x:c>
      <x:c r="W4" s="60" t="str">
        <x:v>Long recycler and processor history with a recent cash exit</x:v>
      </x:c>
      <x:c r="X4" s="61" t="str">
        <x:v>Historical ticker was SCHN before RDUS; retain one security lineage</x:v>
      </x:c>
    </x:row>
    <x:row r="5">
      <x:c r="A5" s="52" t="str">
        <x:v>Basic Materials</x:v>
      </x:c>
      <x:c r="B5" s="53" t="str">
        <x:v>steel_producers_processors</x:v>
      </x:c>
      <x:c r="C5" s="53" t="str">
        <x:v>USAP</x:v>
      </x:c>
      <x:c r="D5" s="53" t="str">
        <x:v>USAP-202501</x:v>
      </x:c>
      <x:c r="E5" s="53" t="n">
        <x:v>134848</x:v>
      </x:c>
      <x:c r="F5" s="53" t="str">
        <x:v>Universal Stainless &amp; Alloy Products Inc</x:v>
      </x:c>
      <x:c r="G5" s="53" t="str">
        <x:v>Steel</x:v>
      </x:c>
      <x:c r="H5" s="53" t="str">
        <x:v>1994-12-14</x:v>
      </x:c>
      <x:c r="I5" s="53" t="str">
        <x:v>2025-01-22</x:v>
      </x:c>
      <x:c r="J5" s="53" t="str">
        <x:v>cash_acquisition</x:v>
      </x:c>
      <x:c r="K5" s="53" t="str">
        <x:v>2025-01-23</x:v>
      </x:c>
      <x:c r="L5" s="53" t="str">
        <x:v>Aperam</x:v>
      </x:c>
      <x:c r="M5" s="53" t="str"/>
      <x:c r="N5" s="65" t="n">
        <x:v>1</x:v>
      </x:c>
      <x:c r="O5" s="53" t="str">
        <x:v>candidate_unapproved</x:v>
      </x:c>
      <x:c r="P5" s="53" t="str">
        <x:v>source_found_terminal_pending</x:v>
      </x:c>
      <x:c r="Q5" s="53" t="str">
        <x:v>pending_reconstruction</x:v>
      </x:c>
      <x:c r="R5" s="53" t="str">
        <x:v>pending_reconciliation</x:v>
      </x:c>
      <x:c r="S5" s="65" t="n">
        <x:v>0</x:v>
      </x:c>
      <x:c r="T5" s="65" t="n">
        <x:v>0</x:v>
      </x:c>
      <x:c r="U5" s="60" t="str">
        <x:v>Norgate US Equities Delisted and Current &amp; Past watchlists</x:v>
      </x:c>
      <x:c r="V5" s="60" t="str">
        <x:v>https://www.sec.gov/Archives/edgar/data/931584/000119312525011290/d861507dex991.htm</x:v>
      </x:c>
      <x:c r="W5" s="60" t="str">
        <x:v>Specialty steel producer with a long public operating history</x:v>
      </x:c>
      <x:c r="X5" s="61" t="str"/>
    </x:row>
    <x:row r="6">
      <x:c r="A6" s="52" t="str">
        <x:v>Basic Materials</x:v>
      </x:c>
      <x:c r="B6" s="53" t="str">
        <x:v>steel_producers_processors</x:v>
      </x:c>
      <x:c r="C6" s="53" t="str">
        <x:v>HAYN</x:v>
      </x:c>
      <x:c r="D6" s="53" t="str">
        <x:v>HAYN-202411</x:v>
      </x:c>
      <x:c r="E6" s="53" t="n">
        <x:v>268843</x:v>
      </x:c>
      <x:c r="F6" s="53" t="str">
        <x:v>Haynes International Inc</x:v>
      </x:c>
      <x:c r="G6" s="53" t="str">
        <x:v>Steel</x:v>
      </x:c>
      <x:c r="H6" s="53" t="str">
        <x:v>2004-09-21</x:v>
      </x:c>
      <x:c r="I6" s="53" t="str">
        <x:v>2024-11-20</x:v>
      </x:c>
      <x:c r="J6" s="53" t="str">
        <x:v>cash_acquisition</x:v>
      </x:c>
      <x:c r="K6" s="53" t="str">
        <x:v>2024-11-21</x:v>
      </x:c>
      <x:c r="L6" s="53" t="str">
        <x:v>North American Stainless and Acerinox</x:v>
      </x:c>
      <x:c r="M6" s="53" t="str"/>
      <x:c r="N6" s="65" t="n">
        <x:v>1</x:v>
      </x:c>
      <x:c r="O6" s="53" t="str">
        <x:v>candidate_unapproved</x:v>
      </x:c>
      <x:c r="P6" s="53" t="str">
        <x:v>source_found_terminal_pending</x:v>
      </x:c>
      <x:c r="Q6" s="53" t="str">
        <x:v>pending_reconstruction</x:v>
      </x:c>
      <x:c r="R6" s="53" t="str">
        <x:v>pending_reconciliation</x:v>
      </x:c>
      <x:c r="S6" s="65" t="n">
        <x:v>0</x:v>
      </x:c>
      <x:c r="T6" s="65" t="n">
        <x:v>0</x:v>
      </x:c>
      <x:c r="U6" s="60" t="str">
        <x:v>Norgate US Equities Delisted and Current &amp; Past watchlists</x:v>
      </x:c>
      <x:c r="V6" s="60" t="str">
        <x:v>https://www.sec.gov/Archives/edgar/data/858655/000110465924121366/tm2428965d6_ex99-1.htm</x:v>
      </x:c>
      <x:c r="W6" s="60" t="str">
        <x:v>High-performance alloy producer adds aerospace-sensitive steel economics</x:v>
      </x:c>
      <x:c r="X6" s="61" t="str"/>
    </x:row>
    <x:row r="7">
      <x:c r="A7" s="52" t="str">
        <x:v>Basic Materials</x:v>
      </x:c>
      <x:c r="B7" s="53" t="str">
        <x:v>steel_producers_processors</x:v>
      </x:c>
      <x:c r="C7" s="53" t="str">
        <x:v>MUSA</x:v>
      </x:c>
      <x:c r="D7" s="53" t="str">
        <x:v>MUSA-201304</x:v>
      </x:c>
      <x:c r="E7" s="53" t="n">
        <x:v>495101</x:v>
      </x:c>
      <x:c r="F7" s="53" t="str">
        <x:v>Metals USA Holdings Corp</x:v>
      </x:c>
      <x:c r="G7" s="53" t="str">
        <x:v>Steel</x:v>
      </x:c>
      <x:c r="H7" s="53" t="str">
        <x:v>2010-04-09</x:v>
      </x:c>
      <x:c r="I7" s="53" t="str">
        <x:v>2013-04-12</x:v>
      </x:c>
      <x:c r="J7" s="53" t="str">
        <x:v>cash_acquisition</x:v>
      </x:c>
      <x:c r="K7" s="53" t="str"/>
      <x:c r="L7" s="53" t="str">
        <x:v>Reliance Steel &amp; Aluminum</x:v>
      </x:c>
      <x:c r="M7" s="53" t="str">
        <x:v>RS</x:v>
      </x:c>
      <x:c r="N7" s="65" t="n">
        <x:v>2</x:v>
      </x:c>
      <x:c r="O7" s="53" t="str">
        <x:v>candidate_unapproved</x:v>
      </x:c>
      <x:c r="P7" s="53" t="str">
        <x:v>pending_primary_source</x:v>
      </x:c>
      <x:c r="Q7" s="53" t="str">
        <x:v>pending_reconstruction</x:v>
      </x:c>
      <x:c r="R7" s="53" t="str">
        <x:v>pending_reconciliation</x:v>
      </x:c>
      <x:c r="S7" s="65" t="n">
        <x:v>0</x:v>
      </x:c>
      <x:c r="T7" s="65" t="n">
        <x:v>0</x:v>
      </x:c>
      <x:c r="U7" s="60" t="str">
        <x:v>Norgate US Equities Delisted and Current &amp; Past watchlists</x:v>
      </x:c>
      <x:c r="V7" s="60" t="str"/>
      <x:c r="W7" s="60" t="str">
        <x:v>Processor and service-center analogue for RS and related current members</x:v>
      </x:c>
      <x:c r="X7" s="61" t="str"/>
    </x:row>
    <x:row r="8">
      <x:c r="A8" s="52" t="str">
        <x:v>Basic Materials</x:v>
      </x:c>
      <x:c r="B8" s="53" t="str">
        <x:v>steel_producers_processors</x:v>
      </x:c>
      <x:c r="C8" s="53" t="str">
        <x:v>GNA</x:v>
      </x:c>
      <x:c r="D8" s="53" t="str">
        <x:v>GNA-201008</x:v>
      </x:c>
      <x:c r="E8" s="53" t="n">
        <x:v>136994</x:v>
      </x:c>
      <x:c r="F8" s="53" t="str">
        <x:v>Gerdau Ameristeel Corp</x:v>
      </x:c>
      <x:c r="G8" s="53" t="str">
        <x:v>Steel</x:v>
      </x:c>
      <x:c r="H8" s="53" t="str">
        <x:v>2003-10-28</x:v>
      </x:c>
      <x:c r="I8" s="53" t="str">
        <x:v>2010-08-27</x:v>
      </x:c>
      <x:c r="J8" s="53" t="str">
        <x:v>cash_acquisition</x:v>
      </x:c>
      <x:c r="K8" s="53" t="str"/>
      <x:c r="L8" s="53" t="str">
        <x:v>Gerdau SA</x:v>
      </x:c>
      <x:c r="M8" s="53" t="str">
        <x:v>GGB</x:v>
      </x:c>
      <x:c r="N8" s="65" t="n">
        <x:v>2</x:v>
      </x:c>
      <x:c r="O8" s="53" t="str">
        <x:v>candidate_unapproved</x:v>
      </x:c>
      <x:c r="P8" s="53" t="str">
        <x:v>pending_primary_source</x:v>
      </x:c>
      <x:c r="Q8" s="53" t="str">
        <x:v>pending_reconstruction</x:v>
      </x:c>
      <x:c r="R8" s="53" t="str">
        <x:v>pending_reconciliation</x:v>
      </x:c>
      <x:c r="S8" s="65" t="n">
        <x:v>0</x:v>
      </x:c>
      <x:c r="T8" s="65" t="n">
        <x:v>0</x:v>
      </x:c>
      <x:c r="U8" s="60" t="str">
        <x:v>Norgate US Equities Delisted and Current &amp; Past watchlists</x:v>
      </x:c>
      <x:c r="V8" s="60" t="str"/>
      <x:c r="W8" s="60" t="str">
        <x:v>North American mini-mill history adds an earlier steel cycle</x:v>
      </x:c>
      <x:c r="X8" s="61" t="str"/>
    </x:row>
    <x:row r="9">
      <x:c r="A9" s="52" t="str">
        <x:v>Basic Materials</x:v>
      </x:c>
      <x:c r="B9" s="53" t="str">
        <x:v>steel_producers_processors</x:v>
      </x:c>
      <x:c r="C9" s="53" t="str">
        <x:v>ZEUS</x:v>
      </x:c>
      <x:c r="D9" s="53" t="str">
        <x:v>ZEUS-202602</x:v>
      </x:c>
      <x:c r="E9" s="53" t="n">
        <x:v>126477</x:v>
      </x:c>
      <x:c r="F9" s="53" t="str">
        <x:v>Olympic Steel Inc</x:v>
      </x:c>
      <x:c r="G9" s="53" t="str">
        <x:v>Steel</x:v>
      </x:c>
      <x:c r="H9" s="53" t="str">
        <x:v>1994-03-10</x:v>
      </x:c>
      <x:c r="I9" s="53" t="str">
        <x:v>2026-02-12</x:v>
      </x:c>
      <x:c r="J9" s="53" t="str">
        <x:v>stock_merger</x:v>
      </x:c>
      <x:c r="K9" s="53" t="str">
        <x:v>2026-02-13</x:v>
      </x:c>
      <x:c r="L9" s="53" t="str">
        <x:v>Ryerson Holding</x:v>
      </x:c>
      <x:c r="M9" s="53" t="str">
        <x:v>RYI</x:v>
      </x:c>
      <x:c r="N9" s="65" t="n">
        <x:v>1</x:v>
      </x:c>
      <x:c r="O9" s="53" t="str">
        <x:v>candidate_unapproved</x:v>
      </x:c>
      <x:c r="P9" s="53" t="str">
        <x:v>source_found_terminal_pending</x:v>
      </x:c>
      <x:c r="Q9" s="53" t="str">
        <x:v>pending_reconstruction</x:v>
      </x:c>
      <x:c r="R9" s="53" t="str">
        <x:v>pending_reconciliation</x:v>
      </x:c>
      <x:c r="S9" s="65" t="n">
        <x:v>0</x:v>
      </x:c>
      <x:c r="T9" s="65" t="n">
        <x:v>0</x:v>
      </x:c>
      <x:c r="U9" s="60" t="str">
        <x:v>Norgate US Equities Delisted and Current &amp; Past watchlists</x:v>
      </x:c>
      <x:c r="V9" s="60" t="str">
        <x:v>https://www.sec.gov/Archives/edgar/data/917470/000119312526051373/d37005d8k.htm</x:v>
      </x:c>
      <x:c r="W9" s="60" t="str">
        <x:v>Long service-center history and a recent stock-for-stock terminal event</x:v>
      </x:c>
      <x:c r="X9" s="61" t="str"/>
    </x:row>
    <x:row r="10">
      <x:c r="A10" s="52" t="str">
        <x:v>Basic Materials</x:v>
      </x:c>
      <x:c r="B10" s="53" t="str">
        <x:v>specialty_chemicals_materials</x:v>
      </x:c>
      <x:c r="C10" s="53" t="str">
        <x:v>SIAL</x:v>
      </x:c>
      <x:c r="D10" s="53" t="str">
        <x:v>SIAL-201511</x:v>
      </x:c>
      <x:c r="E10" s="53" t="n">
        <x:v>127977</x:v>
      </x:c>
      <x:c r="F10" s="53" t="str">
        <x:v>Sigma-Aldrich Corp</x:v>
      </x:c>
      <x:c r="G10" s="53" t="str">
        <x:v>Specialty Chemicals</x:v>
      </x:c>
      <x:c r="H10" s="53" t="str">
        <x:v>1990-01-02</x:v>
      </x:c>
      <x:c r="I10" s="53" t="str">
        <x:v>2015-11-17</x:v>
      </x:c>
      <x:c r="J10" s="53" t="str">
        <x:v>cash_acquisition</x:v>
      </x:c>
      <x:c r="K10" s="53" t="str"/>
      <x:c r="L10" s="53" t="str">
        <x:v>Merck KGaA</x:v>
      </x:c>
      <x:c r="M10" s="53" t="str"/>
      <x:c r="N10" s="65" t="n">
        <x:v>1</x:v>
      </x:c>
      <x:c r="O10" s="53" t="str">
        <x:v>candidate_unapproved</x:v>
      </x:c>
      <x:c r="P10" s="53" t="str">
        <x:v>pending_primary_source</x:v>
      </x:c>
      <x:c r="Q10" s="53" t="str">
        <x:v>pending_reconstruction</x:v>
      </x:c>
      <x:c r="R10" s="53" t="str">
        <x:v>pending_reconciliation</x:v>
      </x:c>
      <x:c r="S10" s="65" t="n">
        <x:v>0</x:v>
      </x:c>
      <x:c r="T10" s="65" t="n">
        <x:v>0</x:v>
      </x:c>
      <x:c r="U10" s="60" t="str">
        <x:v>Norgate US Equities Delisted and Current &amp; Past watchlists</x:v>
      </x:c>
      <x:c r="V10" s="60" t="str"/>
      <x:c r="W10" s="60" t="str">
        <x:v>High-quality life-science and specialty-chemical operating history</x:v>
      </x:c>
      <x:c r="X10" s="61" t="str"/>
    </x:row>
    <x:row r="11">
      <x:c r="A11" s="52" t="str">
        <x:v>Basic Materials</x:v>
      </x:c>
      <x:c r="B11" s="53" t="str">
        <x:v>specialty_chemicals_materials</x:v>
      </x:c>
      <x:c r="C11" s="53" t="str">
        <x:v>VAL</x:v>
      </x:c>
      <x:c r="D11" s="53" t="str">
        <x:v>VAL-201705</x:v>
      </x:c>
      <x:c r="E11" s="53" t="n">
        <x:v>138201</x:v>
      </x:c>
      <x:c r="F11" s="53" t="str">
        <x:v>Valspar Corp</x:v>
      </x:c>
      <x:c r="G11" s="53" t="str">
        <x:v>Specialty Chemicals</x:v>
      </x:c>
      <x:c r="H11" s="53" t="str">
        <x:v>1990-01-02</x:v>
      </x:c>
      <x:c r="I11" s="53" t="str">
        <x:v>2017-05-31</x:v>
      </x:c>
      <x:c r="J11" s="53" t="str">
        <x:v>cash_acquisition</x:v>
      </x:c>
      <x:c r="K11" s="53" t="str"/>
      <x:c r="L11" s="53" t="str">
        <x:v>Sherwin-Williams</x:v>
      </x:c>
      <x:c r="M11" s="53" t="str">
        <x:v>SHW</x:v>
      </x:c>
      <x:c r="N11" s="65" t="n">
        <x:v>1</x:v>
      </x:c>
      <x:c r="O11" s="53" t="str">
        <x:v>candidate_unapproved</x:v>
      </x:c>
      <x:c r="P11" s="53" t="str">
        <x:v>pending_primary_source</x:v>
      </x:c>
      <x:c r="Q11" s="53" t="str">
        <x:v>pending_reconstruction</x:v>
      </x:c>
      <x:c r="R11" s="53" t="str">
        <x:v>pending_reconciliation</x:v>
      </x:c>
      <x:c r="S11" s="65" t="n">
        <x:v>0</x:v>
      </x:c>
      <x:c r="T11" s="65" t="n">
        <x:v>0</x:v>
      </x:c>
      <x:c r="U11" s="60" t="str">
        <x:v>Norgate US Equities Delisted and Current &amp; Past watchlists</x:v>
      </x:c>
      <x:c r="V11" s="60" t="str"/>
      <x:c r="W11" s="60" t="str">
        <x:v>Direct coatings analogue with a long public history</x:v>
      </x:c>
      <x:c r="X11" s="61" t="str"/>
    </x:row>
    <x:row r="12">
      <x:c r="A12" s="52" t="str">
        <x:v>Basic Materials</x:v>
      </x:c>
      <x:c r="B12" s="53" t="str">
        <x:v>specialty_chemicals_materials</x:v>
      </x:c>
      <x:c r="C12" s="53" t="str">
        <x:v>GRA</x:v>
      </x:c>
      <x:c r="D12" s="53" t="str">
        <x:v>GRA-202109</x:v>
      </x:c>
      <x:c r="E12" s="53" t="n">
        <x:v>145300</x:v>
      </x:c>
      <x:c r="F12" s="53" t="str">
        <x:v>W R Grace &amp; Co</x:v>
      </x:c>
      <x:c r="G12" s="53" t="str">
        <x:v>Specialty Chemicals</x:v>
      </x:c>
      <x:c r="H12" s="53" t="str">
        <x:v>1990-01-02</x:v>
      </x:c>
      <x:c r="I12" s="53" t="str">
        <x:v>2021-09-21</x:v>
      </x:c>
      <x:c r="J12" s="53" t="str">
        <x:v>cash_acquisition</x:v>
      </x:c>
      <x:c r="K12" s="53" t="str"/>
      <x:c r="L12" s="53" t="str">
        <x:v>Standard Industries Holdings</x:v>
      </x:c>
      <x:c r="M12" s="53" t="str"/>
      <x:c r="N12" s="65" t="n">
        <x:v>1</x:v>
      </x:c>
      <x:c r="O12" s="53" t="str">
        <x:v>candidate_unapproved</x:v>
      </x:c>
      <x:c r="P12" s="53" t="str">
        <x:v>pending_primary_source</x:v>
      </x:c>
      <x:c r="Q12" s="53" t="str">
        <x:v>pending_reconstruction</x:v>
      </x:c>
      <x:c r="R12" s="53" t="str">
        <x:v>pending_reconciliation</x:v>
      </x:c>
      <x:c r="S12" s="65" t="n">
        <x:v>0</x:v>
      </x:c>
      <x:c r="T12" s="65" t="n">
        <x:v>0</x:v>
      </x:c>
      <x:c r="U12" s="60" t="str">
        <x:v>Norgate US Equities Delisted and Current &amp; Past watchlists</x:v>
      </x:c>
      <x:c r="V12" s="60" t="str"/>
      <x:c r="W12" s="60" t="str">
        <x:v>Catalysts and engineered-materials history across several cycles</x:v>
      </x:c>
      <x:c r="X12" s="61" t="str"/>
    </x:row>
    <x:row r="13">
      <x:c r="A13" s="52" t="str">
        <x:v>Basic Materials</x:v>
      </x:c>
      <x:c r="B13" s="53" t="str">
        <x:v>specialty_chemicals_materials</x:v>
      </x:c>
      <x:c r="C13" s="53" t="str">
        <x:v>KRA</x:v>
      </x:c>
      <x:c r="D13" s="53" t="str">
        <x:v>KRA-202203</x:v>
      </x:c>
      <x:c r="E13" s="53" t="n">
        <x:v>480085</x:v>
      </x:c>
      <x:c r="F13" s="53" t="str">
        <x:v>Kraton Corp</x:v>
      </x:c>
      <x:c r="G13" s="53" t="str">
        <x:v>Specialty Chemicals</x:v>
      </x:c>
      <x:c r="H13" s="53" t="str">
        <x:v>2009-12-17</x:v>
      </x:c>
      <x:c r="I13" s="53" t="str">
        <x:v>2022-03-14</x:v>
      </x:c>
      <x:c r="J13" s="53" t="str">
        <x:v>cash_acquisition</x:v>
      </x:c>
      <x:c r="K13" s="53" t="str"/>
      <x:c r="L13" s="53" t="str">
        <x:v>DL Chemical</x:v>
      </x:c>
      <x:c r="M13" s="53" t="str"/>
      <x:c r="N13" s="65" t="n">
        <x:v>1</x:v>
      </x:c>
      <x:c r="O13" s="53" t="str">
        <x:v>candidate_unapproved</x:v>
      </x:c>
      <x:c r="P13" s="53" t="str">
        <x:v>pending_primary_source</x:v>
      </x:c>
      <x:c r="Q13" s="53" t="str">
        <x:v>pending_reconstruction</x:v>
      </x:c>
      <x:c r="R13" s="53" t="str">
        <x:v>pending_reconciliation</x:v>
      </x:c>
      <x:c r="S13" s="65" t="n">
        <x:v>0</x:v>
      </x:c>
      <x:c r="T13" s="65" t="n">
        <x:v>0</x:v>
      </x:c>
      <x:c r="U13" s="60" t="str">
        <x:v>Norgate US Equities Delisted and Current &amp; Past watchlists</x:v>
      </x:c>
      <x:c r="V13" s="60" t="str"/>
      <x:c r="W13" s="60" t="str">
        <x:v>Specialty polymers and additives analogue with feedstock sensitivity</x:v>
      </x:c>
      <x:c r="X13" s="61" t="str"/>
    </x:row>
    <x:row r="14">
      <x:c r="A14" s="52" t="str">
        <x:v>Basic Materials</x:v>
      </x:c>
      <x:c r="B14" s="53" t="str">
        <x:v>specialty_chemicals_materials</x:v>
      </x:c>
      <x:c r="C14" s="53" t="str">
        <x:v>CHMT</x:v>
      </x:c>
      <x:c r="D14" s="53" t="str">
        <x:v>CHMT-201704</x:v>
      </x:c>
      <x:c r="E14" s="53" t="n">
        <x:v>522267</x:v>
      </x:c>
      <x:c r="F14" s="53" t="str">
        <x:v>Chemtura Corp</x:v>
      </x:c>
      <x:c r="G14" s="53" t="str">
        <x:v>Specialty Chemicals</x:v>
      </x:c>
      <x:c r="H14" s="53" t="str">
        <x:v>1990-01-02</x:v>
      </x:c>
      <x:c r="I14" s="53" t="str">
        <x:v>2017-04-20</x:v>
      </x:c>
      <x:c r="J14" s="53" t="str">
        <x:v>cash_acquisition</x:v>
      </x:c>
      <x:c r="K14" s="53" t="str"/>
      <x:c r="L14" s="53" t="str">
        <x:v>LANXESS</x:v>
      </x:c>
      <x:c r="M14" s="53" t="str"/>
      <x:c r="N14" s="65" t="n">
        <x:v>1</x:v>
      </x:c>
      <x:c r="O14" s="53" t="str">
        <x:v>candidate_unapproved</x:v>
      </x:c>
      <x:c r="P14" s="53" t="str">
        <x:v>pending_primary_source</x:v>
      </x:c>
      <x:c r="Q14" s="53" t="str">
        <x:v>pending_reconstruction</x:v>
      </x:c>
      <x:c r="R14" s="53" t="str">
        <x:v>pending_reconciliation</x:v>
      </x:c>
      <x:c r="S14" s="65" t="n">
        <x:v>0</x:v>
      </x:c>
      <x:c r="T14" s="65" t="n">
        <x:v>0</x:v>
      </x:c>
      <x:c r="U14" s="60" t="str">
        <x:v>Norgate US Equities Delisted and Current &amp; Past watchlists</x:v>
      </x:c>
      <x:c r="V14" s="60" t="str"/>
      <x:c r="W14" s="60" t="str">
        <x:v>Long-cycle additives and specialty-chemical history</x:v>
      </x:c>
      <x:c r="X14" s="61" t="str"/>
    </x:row>
    <x:row r="15">
      <x:c r="A15" s="52" t="str">
        <x:v>Basic Materials</x:v>
      </x:c>
      <x:c r="B15" s="53" t="str">
        <x:v>specialty_chemicals_materials</x:v>
      </x:c>
      <x:c r="C15" s="53" t="str">
        <x:v>CYT</x:v>
      </x:c>
      <x:c r="D15" s="53" t="str">
        <x:v>CYT-201512</x:v>
      </x:c>
      <x:c r="E15" s="53" t="n">
        <x:v>137426</x:v>
      </x:c>
      <x:c r="F15" s="53" t="str">
        <x:v>Cytec Industries Inc</x:v>
      </x:c>
      <x:c r="G15" s="53" t="str">
        <x:v>Specialty Chemicals</x:v>
      </x:c>
      <x:c r="H15" s="53" t="str">
        <x:v>1993-12-22</x:v>
      </x:c>
      <x:c r="I15" s="53" t="str">
        <x:v>2015-12-08</x:v>
      </x:c>
      <x:c r="J15" s="53" t="str">
        <x:v>cash_acquisition</x:v>
      </x:c>
      <x:c r="K15" s="53" t="str"/>
      <x:c r="L15" s="53" t="str">
        <x:v>Solvay</x:v>
      </x:c>
      <x:c r="M15" s="53" t="str"/>
      <x:c r="N15" s="65" t="n">
        <x:v>1</x:v>
      </x:c>
      <x:c r="O15" s="53" t="str">
        <x:v>candidate_unapproved</x:v>
      </x:c>
      <x:c r="P15" s="53" t="str">
        <x:v>pending_primary_source</x:v>
      </x:c>
      <x:c r="Q15" s="53" t="str">
        <x:v>pending_reconstruction</x:v>
      </x:c>
      <x:c r="R15" s="53" t="str">
        <x:v>pending_reconciliation</x:v>
      </x:c>
      <x:c r="S15" s="65" t="n">
        <x:v>0</x:v>
      </x:c>
      <x:c r="T15" s="65" t="n">
        <x:v>0</x:v>
      </x:c>
      <x:c r="U15" s="60" t="str">
        <x:v>Norgate US Equities Delisted and Current &amp; Past watchlists</x:v>
      </x:c>
      <x:c r="V15" s="60" t="str"/>
      <x:c r="W15" s="60" t="str">
        <x:v>Advanced materials and specialty formulations analogue</x:v>
      </x:c>
      <x:c r="X15" s="61" t="str"/>
    </x:row>
    <x:row r="16">
      <x:c r="A16" s="52" t="str">
        <x:v>Basic Materials</x:v>
      </x:c>
      <x:c r="B16" s="53" t="str">
        <x:v>specialty_chemicals_materials</x:v>
      </x:c>
      <x:c r="C16" s="53" t="str">
        <x:v>SHLM</x:v>
      </x:c>
      <x:c r="D16" s="53" t="str">
        <x:v>SHLM-201808</x:v>
      </x:c>
      <x:c r="E16" s="53" t="n">
        <x:v>134084</x:v>
      </x:c>
      <x:c r="F16" s="53" t="str">
        <x:v>A Schulman Inc</x:v>
      </x:c>
      <x:c r="G16" s="53" t="str">
        <x:v>Specialty Chemicals</x:v>
      </x:c>
      <x:c r="H16" s="53" t="str">
        <x:v>1990-01-02</x:v>
      </x:c>
      <x:c r="I16" s="53" t="str">
        <x:v>2018-08-20</x:v>
      </x:c>
      <x:c r="J16" s="53" t="str">
        <x:v>cash_acquisition</x:v>
      </x:c>
      <x:c r="K16" s="53" t="str"/>
      <x:c r="L16" s="53" t="str">
        <x:v>LyondellBasell</x:v>
      </x:c>
      <x:c r="M16" s="53" t="str">
        <x:v>LYB</x:v>
      </x:c>
      <x:c r="N16" s="65" t="n">
        <x:v>1</x:v>
      </x:c>
      <x:c r="O16" s="53" t="str">
        <x:v>candidate_unapproved</x:v>
      </x:c>
      <x:c r="P16" s="53" t="str">
        <x:v>pending_primary_source</x:v>
      </x:c>
      <x:c r="Q16" s="53" t="str">
        <x:v>pending_reconstruction</x:v>
      </x:c>
      <x:c r="R16" s="53" t="str">
        <x:v>pending_reconciliation</x:v>
      </x:c>
      <x:c r="S16" s="65" t="n">
        <x:v>0</x:v>
      </x:c>
      <x:c r="T16" s="65" t="n">
        <x:v>0</x:v>
      </x:c>
      <x:c r="U16" s="60" t="str">
        <x:v>Norgate US Equities Delisted and Current &amp; Past watchlists</x:v>
      </x:c>
      <x:c r="V16" s="60" t="str"/>
      <x:c r="W16" s="60" t="str">
        <x:v>Engineered plastics and compounding history with cyclical exposure</x:v>
      </x:c>
      <x:c r="X16" s="61" t="str"/>
    </x:row>
    <x:row r="17">
      <x:c r="A17" s="52" t="str">
        <x:v>Basic Materials</x:v>
      </x:c>
      <x:c r="B17" s="53" t="str">
        <x:v>specialty_chemicals_materials</x:v>
      </x:c>
      <x:c r="C17" s="53" t="str">
        <x:v>FOE</x:v>
      </x:c>
      <x:c r="D17" s="53" t="str">
        <x:v>FOE-202204</x:v>
      </x:c>
      <x:c r="E17" s="53" t="n">
        <x:v>140762</x:v>
      </x:c>
      <x:c r="F17" s="53" t="str">
        <x:v>Ferro Corp</x:v>
      </x:c>
      <x:c r="G17" s="53" t="str">
        <x:v>Specialty Chemicals</x:v>
      </x:c>
      <x:c r="H17" s="53" t="str">
        <x:v>1990-01-02</x:v>
      </x:c>
      <x:c r="I17" s="53" t="str">
        <x:v>2022-04-21</x:v>
      </x:c>
      <x:c r="J17" s="53" t="str">
        <x:v>cash_acquisition</x:v>
      </x:c>
      <x:c r="K17" s="53" t="str"/>
      <x:c r="L17" s="53" t="str">
        <x:v>Prince International</x:v>
      </x:c>
      <x:c r="M17" s="53" t="str"/>
      <x:c r="N17" s="65" t="n">
        <x:v>1</x:v>
      </x:c>
      <x:c r="O17" s="53" t="str">
        <x:v>candidate_unapproved</x:v>
      </x:c>
      <x:c r="P17" s="53" t="str">
        <x:v>pending_primary_source</x:v>
      </x:c>
      <x:c r="Q17" s="53" t="str">
        <x:v>pending_reconstruction</x:v>
      </x:c>
      <x:c r="R17" s="53" t="str">
        <x:v>pending_reconciliation</x:v>
      </x:c>
      <x:c r="S17" s="65" t="n">
        <x:v>0</x:v>
      </x:c>
      <x:c r="T17" s="65" t="n">
        <x:v>0</x:v>
      </x:c>
      <x:c r="U17" s="60" t="str">
        <x:v>Norgate US Equities Delisted and Current &amp; Past watchlists</x:v>
      </x:c>
      <x:c r="V17" s="60" t="str"/>
      <x:c r="W17" s="60" t="str">
        <x:v>Functional coatings and color-solutions history</x:v>
      </x:c>
      <x:c r="X17" s="61" t="str"/>
    </x:row>
    <x:row r="18">
      <x:c r="A18" s="52" t="str">
        <x:v>Basic Materials</x:v>
      </x:c>
      <x:c r="B18" s="53" t="str">
        <x:v>specialty_chemicals_materials</x:v>
      </x:c>
      <x:c r="C18" s="53" t="str">
        <x:v>OMN</x:v>
      </x:c>
      <x:c r="D18" s="53" t="str">
        <x:v>OMN-202003</x:v>
      </x:c>
      <x:c r="E18" s="53" t="n">
        <x:v>135578</x:v>
      </x:c>
      <x:c r="F18" s="53" t="str">
        <x:v>OMNOVA Solutions Inc</x:v>
      </x:c>
      <x:c r="G18" s="53" t="str">
        <x:v>Specialty Chemicals</x:v>
      </x:c>
      <x:c r="H18" s="53" t="str">
        <x:v>1999-09-28</x:v>
      </x:c>
      <x:c r="I18" s="53" t="str">
        <x:v>2020-03-31</x:v>
      </x:c>
      <x:c r="J18" s="53" t="str">
        <x:v>cash_acquisition</x:v>
      </x:c>
      <x:c r="K18" s="53" t="str"/>
      <x:c r="L18" s="53" t="str">
        <x:v>Synthomer</x:v>
      </x:c>
      <x:c r="M18" s="53" t="str"/>
      <x:c r="N18" s="65" t="n">
        <x:v>1</x:v>
      </x:c>
      <x:c r="O18" s="53" t="str">
        <x:v>candidate_unapproved</x:v>
      </x:c>
      <x:c r="P18" s="53" t="str">
        <x:v>pending_primary_source</x:v>
      </x:c>
      <x:c r="Q18" s="53" t="str">
        <x:v>pending_reconstruction</x:v>
      </x:c>
      <x:c r="R18" s="53" t="str">
        <x:v>pending_reconciliation</x:v>
      </x:c>
      <x:c r="S18" s="65" t="n">
        <x:v>0</x:v>
      </x:c>
      <x:c r="T18" s="65" t="n">
        <x:v>0</x:v>
      </x:c>
      <x:c r="U18" s="60" t="str">
        <x:v>Norgate US Equities Delisted and Current &amp; Past watchlists</x:v>
      </x:c>
      <x:c r="V18" s="60" t="str"/>
      <x:c r="W18" s="60" t="str">
        <x:v>Specialty polymers history including a stressed-cycle exit</x:v>
      </x:c>
      <x:c r="X18" s="61" t="str"/>
    </x:row>
    <x:row r="19">
      <x:c r="A19" s="52" t="str">
        <x:v>Basic Materials</x:v>
      </x:c>
      <x:c r="B19" s="53" t="str">
        <x:v>specialty_chemicals_materials</x:v>
      </x:c>
      <x:c r="C19" s="53" t="str">
        <x:v>IPHS</x:v>
      </x:c>
      <x:c r="D19" s="53" t="str">
        <x:v>IPHS-202002</x:v>
      </x:c>
      <x:c r="E19" s="53" t="n">
        <x:v>224619</x:v>
      </x:c>
      <x:c r="F19" s="53" t="str">
        <x:v>Innophos Holdings Inc</x:v>
      </x:c>
      <x:c r="G19" s="53" t="str">
        <x:v>Specialty Chemicals</x:v>
      </x:c>
      <x:c r="H19" s="53" t="str">
        <x:v>2006-11-02</x:v>
      </x:c>
      <x:c r="I19" s="53" t="str">
        <x:v>2020-02-06</x:v>
      </x:c>
      <x:c r="J19" s="53" t="str">
        <x:v>cash_acquisition</x:v>
      </x:c>
      <x:c r="K19" s="53" t="str"/>
      <x:c r="L19" s="53" t="str">
        <x:v>One Rock Capital Partners</x:v>
      </x:c>
      <x:c r="M19" s="53" t="str"/>
      <x:c r="N19" s="65" t="n">
        <x:v>1</x:v>
      </x:c>
      <x:c r="O19" s="53" t="str">
        <x:v>candidate_unapproved</x:v>
      </x:c>
      <x:c r="P19" s="53" t="str">
        <x:v>pending_primary_source</x:v>
      </x:c>
      <x:c r="Q19" s="53" t="str">
        <x:v>pending_reconstruction</x:v>
      </x:c>
      <x:c r="R19" s="53" t="str">
        <x:v>pending_reconciliation</x:v>
      </x:c>
      <x:c r="S19" s="65" t="n">
        <x:v>0</x:v>
      </x:c>
      <x:c r="T19" s="65" t="n">
        <x:v>0</x:v>
      </x:c>
      <x:c r="U19" s="60" t="str">
        <x:v>Norgate US Equities Delisted and Current &amp; Past watchlists</x:v>
      </x:c>
      <x:c r="V19" s="60" t="str"/>
      <x:c r="W19" s="60" t="str">
        <x:v>Specialty phosphate products are relevant to current cohort economics</x:v>
      </x:c>
      <x:c r="X19" s="61" t="str"/>
    </x:row>
    <x:row r="20">
      <x:c r="A20" s="52" t="str">
        <x:v>Basic Materials</x:v>
      </x:c>
      <x:c r="B20" s="53" t="str">
        <x:v>mining_royalty_streaming</x:v>
      </x:c>
      <x:c r="C20" s="53" t="str">
        <x:v>MMX</x:v>
      </x:c>
      <x:c r="D20" s="53" t="str">
        <x:v>MMX-202301</x:v>
      </x:c>
      <x:c r="E20" s="53" t="n">
        <x:v>659463</x:v>
      </x:c>
      <x:c r="F20" s="53" t="str">
        <x:v>Maverix Metals Inc</x:v>
      </x:c>
      <x:c r="G20" s="53" t="str">
        <x:v>Gold</x:v>
      </x:c>
      <x:c r="H20" s="53" t="str">
        <x:v>2012-03-16</x:v>
      </x:c>
      <x:c r="I20" s="53" t="str">
        <x:v>2023-01-19</x:v>
      </x:c>
      <x:c r="J20" s="53" t="str">
        <x:v>mixed_acquisition</x:v>
      </x:c>
      <x:c r="K20" s="53" t="str">
        <x:v>2023-01-19</x:v>
      </x:c>
      <x:c r="L20" s="53" t="str">
        <x:v>Triple Flag Precious Metals</x:v>
      </x:c>
      <x:c r="M20" s="53" t="str">
        <x:v>TFPM</x:v>
      </x:c>
      <x:c r="N20" s="65" t="n">
        <x:v>1</x:v>
      </x:c>
      <x:c r="O20" s="53" t="str">
        <x:v>candidate_unapproved</x:v>
      </x:c>
      <x:c r="P20" s="53" t="str">
        <x:v>source_found_terminal_pending</x:v>
      </x:c>
      <x:c r="Q20" s="53" t="str">
        <x:v>pending_reconstruction</x:v>
      </x:c>
      <x:c r="R20" s="53" t="str">
        <x:v>pending_reconciliation</x:v>
      </x:c>
      <x:c r="S20" s="65" t="n">
        <x:v>0</x:v>
      </x:c>
      <x:c r="T20" s="65" t="n">
        <x:v>0</x:v>
      </x:c>
      <x:c r="U20" s="60" t="str">
        <x:v>Norgate US Equities Delisted and Current &amp; Past watchlists</x:v>
      </x:c>
      <x:c r="V20" s="60" t="str">
        <x:v>https://www.sec.gov/Archives/edgar/data/1829726/000110465924039989/tm249686d2_ex99-1.pdf</x:v>
      </x:c>
      <x:c r="W20" s="60" t="str">
        <x:v>Pure-play royalty and streaming analogue with a resolved provider asset</x:v>
      </x:c>
      <x:c r="X20" s="61" t="str">
        <x:v>MMX is reused by older unrelated issuers; provider asset ID is mandatory</x:v>
      </x:c>
    </x:row>
    <x:row r="21">
      <x:c r="A21" s="52" t="str">
        <x:v>Basic Materials</x:v>
      </x:c>
      <x:c r="B21" s="53" t="str">
        <x:v>mining_royalty_streaming</x:v>
      </x:c>
      <x:c r="C21" s="53" t="str">
        <x:v>SAND</x:v>
      </x:c>
      <x:c r="D21" s="53" t="str">
        <x:v>SAND-202510</x:v>
      </x:c>
      <x:c r="E21" s="53" t="n">
        <x:v>503588</x:v>
      </x:c>
      <x:c r="F21" s="53" t="str">
        <x:v>Sandstorm Gold Ltd</x:v>
      </x:c>
      <x:c r="G21" s="53" t="str">
        <x:v>Gold</x:v>
      </x:c>
      <x:c r="H21" s="53" t="str">
        <x:v>2009-05-29</x:v>
      </x:c>
      <x:c r="I21" s="53" t="str">
        <x:v>2025-10-17</x:v>
      </x:c>
      <x:c r="J21" s="53" t="str">
        <x:v>stock_acquisition</x:v>
      </x:c>
      <x:c r="K21" s="53" t="str">
        <x:v>2025-10-20</x:v>
      </x:c>
      <x:c r="L21" s="53" t="str">
        <x:v>Royal Gold</x:v>
      </x:c>
      <x:c r="M21" s="53" t="str">
        <x:v>RGLD</x:v>
      </x:c>
      <x:c r="N21" s="65" t="n">
        <x:v>1</x:v>
      </x:c>
      <x:c r="O21" s="53" t="str">
        <x:v>candidate_unapproved</x:v>
      </x:c>
      <x:c r="P21" s="53" t="str">
        <x:v>source_found_terminal_pending</x:v>
      </x:c>
      <x:c r="Q21" s="53" t="str">
        <x:v>pending_reconstruction</x:v>
      </x:c>
      <x:c r="R21" s="53" t="str">
        <x:v>pending_reconciliation</x:v>
      </x:c>
      <x:c r="S21" s="65" t="n">
        <x:v>0</x:v>
      </x:c>
      <x:c r="T21" s="65" t="n">
        <x:v>0</x:v>
      </x:c>
      <x:c r="U21" s="60" t="str">
        <x:v>Norgate US Equities Delisted and Current &amp; Past watchlists</x:v>
      </x:c>
      <x:c r="V21" s="60" t="str">
        <x:v>https://www.sec.gov/Archives/edgar/data/85535/000008553525000149/rgld-20251020.htm</x:v>
      </x:c>
      <x:c r="W21" s="60" t="str">
        <x:v>Large royalty and streaming history with a recent clean stock exit</x:v>
      </x:c>
      <x:c r="X21" s="61" t="str"/>
    </x:row>
    <x:row r="22">
      <x:c r="A22" s="52" t="str">
        <x:v>Basic Materials</x:v>
      </x:c>
      <x:c r="B22" s="53" t="str">
        <x:v>mining_royalty_streaming</x:v>
      </x:c>
      <x:c r="C22" s="53" t="str">
        <x:v>ROY</x:v>
      </x:c>
      <x:c r="D22" s="53" t="str">
        <x:v>ROY-201002</x:v>
      </x:c>
      <x:c r="E22" s="53" t="n">
        <x:v>182041</x:v>
      </x:c>
      <x:c r="F22" s="53" t="str">
        <x:v>International Royalty Corp</x:v>
      </x:c>
      <x:c r="G22" s="53" t="str">
        <x:v>Gold</x:v>
      </x:c>
      <x:c r="H22" s="53" t="str">
        <x:v>2005-09-19</x:v>
      </x:c>
      <x:c r="I22" s="53" t="str">
        <x:v>2010-02-22</x:v>
      </x:c>
      <x:c r="J22" s="53" t="str">
        <x:v>mixed_acquisition</x:v>
      </x:c>
      <x:c r="K22" s="53" t="str">
        <x:v>2010-02-22</x:v>
      </x:c>
      <x:c r="L22" s="53" t="str">
        <x:v>Royal Gold</x:v>
      </x:c>
      <x:c r="M22" s="53" t="str">
        <x:v>RGLD</x:v>
      </x:c>
      <x:c r="N22" s="65" t="n">
        <x:v>1</x:v>
      </x:c>
      <x:c r="O22" s="53" t="str">
        <x:v>candidate_unapproved</x:v>
      </x:c>
      <x:c r="P22" s="53" t="str">
        <x:v>source_found_terminal_pending</x:v>
      </x:c>
      <x:c r="Q22" s="53" t="str">
        <x:v>pending_reconstruction</x:v>
      </x:c>
      <x:c r="R22" s="53" t="str">
        <x:v>pending_reconciliation</x:v>
      </x:c>
      <x:c r="S22" s="65" t="n">
        <x:v>0</x:v>
      </x:c>
      <x:c r="T22" s="65" t="n">
        <x:v>0</x:v>
      </x:c>
      <x:c r="U22" s="60" t="str">
        <x:v>Norgate US Equities Delisted and Current &amp; Past watchlists</x:v>
      </x:c>
      <x:c r="V22" s="60" t="str">
        <x:v>https://www.sec.gov/Archives/edgar/data/85535/000095012310015840/d71192exv99w1.htm</x:v>
      </x:c>
      <x:c r="W22" s="60" t="str">
        <x:v>Earlier-cycle royalty company with mixed cash and stock consideration</x:v>
      </x:c>
      <x:c r="X22" s="61" t="str"/>
    </x:row>
    <x:row r="23">
      <x:c r="A23" s="52" t="str">
        <x:v>Basic Materials</x:v>
      </x:c>
      <x:c r="B23" s="53" t="str">
        <x:v>mining_royalty_streaming</x:v>
      </x:c>
      <x:c r="C23" s="53" t="str">
        <x:v>NSR</x:v>
      </x:c>
      <x:c r="D23" s="53" t="str"/>
      <x:c r="E23" s="53" t="str"/>
      <x:c r="F23" s="53" t="str">
        <x:v>Nomad Royalty Company Ltd</x:v>
      </x:c>
      <x:c r="G23" s="53" t="str">
        <x:v>Gold</x:v>
      </x:c>
      <x:c r="H23" s="53" t="str"/>
      <x:c r="I23" s="53" t="str"/>
      <x:c r="J23" s="53" t="str">
        <x:v>stock_acquisition</x:v>
      </x:c>
      <x:c r="K23" s="53" t="str">
        <x:v>2022-08-15</x:v>
      </x:c>
      <x:c r="L23" s="53" t="str">
        <x:v>Sandstorm Gold</x:v>
      </x:c>
      <x:c r="M23" s="53" t="str">
        <x:v>SAND</x:v>
      </x:c>
      <x:c r="N23" s="65" t="n">
        <x:v>2</x:v>
      </x:c>
      <x:c r="O23" s="53" t="str">
        <x:v>candidate_unapproved</x:v>
      </x:c>
      <x:c r="P23" s="53" t="str">
        <x:v>provider_mapping_blocked</x:v>
      </x:c>
      <x:c r="Q23" s="53" t="str">
        <x:v>pending_reconstruction</x:v>
      </x:c>
      <x:c r="R23" s="53" t="str">
        <x:v>pending_reconciliation</x:v>
      </x:c>
      <x:c r="S23" s="65" t="n">
        <x:v>0</x:v>
      </x:c>
      <x:c r="T23" s="65" t="n">
        <x:v>0</x:v>
      </x:c>
      <x:c r="U23" s="60" t="str">
        <x:v>SEC filings; provider mapping unresolved</x:v>
      </x:c>
      <x:c r="V23" s="60" t="str">
        <x:v>https://www.sec.gov/Archives/edgar/data/1434614/000162828024005092/sand-20231231_d2.htm</x:v>
      </x:c>
      <x:c r="W23" s="60" t="str">
        <x:v>Pure-play royalty analogue useful after provider identity is resolved</x:v>
      </x:c>
      <x:c r="X23" s="61" t="str">
        <x:v>Norgate root NSR currently resolves Neustar; do not load until the correct asset is mapped</x:v>
      </x:c>
    </x:row>
    <x:row r="24">
      <x:c r="A24" s="52" t="str">
        <x:v>Basic Materials</x:v>
      </x:c>
      <x:c r="B24" s="53" t="str">
        <x:v>precious_metals_producers</x:v>
      </x:c>
      <x:c r="C24" s="53" t="str">
        <x:v>GG</x:v>
      </x:c>
      <x:c r="D24" s="53" t="str">
        <x:v>GG-201904</x:v>
      </x:c>
      <x:c r="E24" s="53" t="n">
        <x:v>130871</x:v>
      </x:c>
      <x:c r="F24" s="53" t="str">
        <x:v>Goldcorp Inc</x:v>
      </x:c>
      <x:c r="G24" s="53" t="str">
        <x:v>Gold</x:v>
      </x:c>
      <x:c r="H24" s="53" t="str">
        <x:v>1990-01-02</x:v>
      </x:c>
      <x:c r="I24" s="53" t="str">
        <x:v>2019-04-17</x:v>
      </x:c>
      <x:c r="J24" s="53" t="str">
        <x:v>stock_acquisition</x:v>
      </x:c>
      <x:c r="K24" s="53" t="str"/>
      <x:c r="L24" s="53" t="str">
        <x:v>Newmont</x:v>
      </x:c>
      <x:c r="M24" s="53" t="str">
        <x:v>NEM</x:v>
      </x:c>
      <x:c r="N24" s="65" t="n">
        <x:v>1</x:v>
      </x:c>
      <x:c r="O24" s="53" t="str">
        <x:v>candidate_unapproved</x:v>
      </x:c>
      <x:c r="P24" s="53" t="str">
        <x:v>pending_primary_source</x:v>
      </x:c>
      <x:c r="Q24" s="53" t="str">
        <x:v>pending_reconstruction</x:v>
      </x:c>
      <x:c r="R24" s="53" t="str">
        <x:v>pending_reconciliation</x:v>
      </x:c>
      <x:c r="S24" s="65" t="n">
        <x:v>0</x:v>
      </x:c>
      <x:c r="T24" s="65" t="n">
        <x:v>0</x:v>
      </x:c>
      <x:c r="U24" s="60" t="str">
        <x:v>Norgate US Equities Delisted and Current &amp; Past watchlists</x:v>
      </x:c>
      <x:c r="V24" s="60" t="str"/>
      <x:c r="W24" s="60" t="str">
        <x:v>Large diversified gold producer with multi-cycle history</x:v>
      </x:c>
      <x:c r="X24" s="61" t="str"/>
    </x:row>
    <x:row r="25">
      <x:c r="A25" s="52" t="str">
        <x:v>Basic Materials</x:v>
      </x:c>
      <x:c r="B25" s="53" t="str">
        <x:v>precious_metals_producers</x:v>
      </x:c>
      <x:c r="C25" s="53" t="str">
        <x:v>GOLD</x:v>
      </x:c>
      <x:c r="D25" s="53" t="str">
        <x:v>GOLD-201812</x:v>
      </x:c>
      <x:c r="E25" s="53" t="n">
        <x:v>131542</x:v>
      </x:c>
      <x:c r="F25" s="53" t="str">
        <x:v>Randgold Resources Ltd ADR</x:v>
      </x:c>
      <x:c r="G25" s="53" t="str">
        <x:v>Gold</x:v>
      </x:c>
      <x:c r="H25" s="53" t="str">
        <x:v>2002-07-11</x:v>
      </x:c>
      <x:c r="I25" s="53" t="str">
        <x:v>2018-12-28</x:v>
      </x:c>
      <x:c r="J25" s="53" t="str">
        <x:v>stock_merger</x:v>
      </x:c>
      <x:c r="K25" s="53" t="str"/>
      <x:c r="L25" s="53" t="str">
        <x:v>Barrick Gold</x:v>
      </x:c>
      <x:c r="M25" s="53" t="str">
        <x:v>GOLD</x:v>
      </x:c>
      <x:c r="N25" s="65" t="n">
        <x:v>1</x:v>
      </x:c>
      <x:c r="O25" s="53" t="str">
        <x:v>candidate_unapproved</x:v>
      </x:c>
      <x:c r="P25" s="53" t="str">
        <x:v>pending_primary_source</x:v>
      </x:c>
      <x:c r="Q25" s="53" t="str">
        <x:v>pending_reconstruction</x:v>
      </x:c>
      <x:c r="R25" s="53" t="str">
        <x:v>pending_reconciliation</x:v>
      </x:c>
      <x:c r="S25" s="65" t="n">
        <x:v>0</x:v>
      </x:c>
      <x:c r="T25" s="65" t="n">
        <x:v>0</x:v>
      </x:c>
      <x:c r="U25" s="60" t="str">
        <x:v>Norgate US Equities Delisted and Current &amp; Past watchlists</x:v>
      </x:c>
      <x:c r="V25" s="60" t="str"/>
      <x:c r="W25" s="60" t="str">
        <x:v>Large high-margin gold producer and critical ticker-reuse test</x:v>
      </x:c>
      <x:c r="X25" s="61" t="str">
        <x:v>Historical Randgold security; GOLD is reused by Barrick and must never be joined on raw ticker alone</x:v>
      </x:c>
    </x:row>
    <x:row r="26">
      <x:c r="A26" s="52" t="str">
        <x:v>Basic Materials</x:v>
      </x:c>
      <x:c r="B26" s="53" t="str">
        <x:v>precious_metals_producers</x:v>
      </x:c>
      <x:c r="C26" s="53" t="str">
        <x:v>KL</x:v>
      </x:c>
      <x:c r="D26" s="53" t="str">
        <x:v>KL-202202</x:v>
      </x:c>
      <x:c r="E26" s="53" t="n">
        <x:v>2076052</x:v>
      </x:c>
      <x:c r="F26" s="53" t="str">
        <x:v>Kirkland Lake Gold Ltd</x:v>
      </x:c>
      <x:c r="G26" s="53" t="str">
        <x:v>Gold</x:v>
      </x:c>
      <x:c r="H26" s="53" t="str">
        <x:v>2015-07-22</x:v>
      </x:c>
      <x:c r="I26" s="53" t="str">
        <x:v>2022-02-08</x:v>
      </x:c>
      <x:c r="J26" s="53" t="str">
        <x:v>stock_merger</x:v>
      </x:c>
      <x:c r="K26" s="53" t="str"/>
      <x:c r="L26" s="53" t="str">
        <x:v>Agnico Eagle Mines</x:v>
      </x:c>
      <x:c r="M26" s="53" t="str">
        <x:v>AEM</x:v>
      </x:c>
      <x:c r="N26" s="65" t="n">
        <x:v>1</x:v>
      </x:c>
      <x:c r="O26" s="53" t="str">
        <x:v>candidate_unapproved</x:v>
      </x:c>
      <x:c r="P26" s="53" t="str">
        <x:v>pending_primary_source</x:v>
      </x:c>
      <x:c r="Q26" s="53" t="str">
        <x:v>pending_reconstruction</x:v>
      </x:c>
      <x:c r="R26" s="53" t="str">
        <x:v>pending_reconciliation</x:v>
      </x:c>
      <x:c r="S26" s="65" t="n">
        <x:v>0</x:v>
      </x:c>
      <x:c r="T26" s="65" t="n">
        <x:v>0</x:v>
      </x:c>
      <x:c r="U26" s="60" t="str">
        <x:v>Norgate US Equities Delisted and Current &amp; Past watchlists</x:v>
      </x:c>
      <x:c r="V26" s="60" t="str"/>
      <x:c r="W26" s="60" t="str">
        <x:v>High-quality producer with strong margins and a stock merger outcome</x:v>
      </x:c>
      <x:c r="X26" s="61" t="str"/>
    </x:row>
    <x:row r="27">
      <x:c r="A27" s="52" t="str">
        <x:v>Basic Materials</x:v>
      </x:c>
      <x:c r="B27" s="53" t="str">
        <x:v>precious_metals_producers</x:v>
      </x:c>
      <x:c r="C27" s="53" t="str">
        <x:v>AUY</x:v>
      </x:c>
      <x:c r="D27" s="53" t="str">
        <x:v>AUY-202303</x:v>
      </x:c>
      <x:c r="E27" s="53" t="n">
        <x:v>141752</x:v>
      </x:c>
      <x:c r="F27" s="53" t="str">
        <x:v>Yamana Gold Inc</x:v>
      </x:c>
      <x:c r="G27" s="53" t="str">
        <x:v>Gold</x:v>
      </x:c>
      <x:c r="H27" s="53" t="str">
        <x:v>2003-05-12</x:v>
      </x:c>
      <x:c r="I27" s="53" t="str">
        <x:v>2023-03-31</x:v>
      </x:c>
      <x:c r="J27" s="53" t="str">
        <x:v>mixed_acquisition</x:v>
      </x:c>
      <x:c r="K27" s="53" t="str"/>
      <x:c r="L27" s="53" t="str">
        <x:v>Pan American Silver and Agnico Eagle</x:v>
      </x:c>
      <x:c r="M27" s="53" t="str">
        <x:v>PAAS</x:v>
      </x:c>
      <x:c r="N27" s="65" t="n">
        <x:v>1</x:v>
      </x:c>
      <x:c r="O27" s="53" t="str">
        <x:v>candidate_unapproved</x:v>
      </x:c>
      <x:c r="P27" s="53" t="str">
        <x:v>pending_primary_source</x:v>
      </x:c>
      <x:c r="Q27" s="53" t="str">
        <x:v>pending_reconstruction</x:v>
      </x:c>
      <x:c r="R27" s="53" t="str">
        <x:v>pending_reconciliation</x:v>
      </x:c>
      <x:c r="S27" s="65" t="n">
        <x:v>0</x:v>
      </x:c>
      <x:c r="T27" s="65" t="n">
        <x:v>0</x:v>
      </x:c>
      <x:c r="U27" s="60" t="str">
        <x:v>Norgate US Equities Delisted and Current &amp; Past watchlists</x:v>
      </x:c>
      <x:c r="V27" s="60" t="str"/>
      <x:c r="W27" s="60" t="str">
        <x:v>Long producer history and a complex split-asset transaction</x:v>
      </x:c>
      <x:c r="X27" s="61" t="str"/>
    </x:row>
    <x:row r="28">
      <x:c r="A28" s="52" t="str">
        <x:v>Basic Materials</x:v>
      </x:c>
      <x:c r="B28" s="53" t="str">
        <x:v>precious_metals_producers</x:v>
      </x:c>
      <x:c r="C28" s="53" t="str">
        <x:v>SWC</x:v>
      </x:c>
      <x:c r="D28" s="53" t="str">
        <x:v>SWC-201705</x:v>
      </x:c>
      <x:c r="E28" s="53" t="n">
        <x:v>146700</x:v>
      </x:c>
      <x:c r="F28" s="53" t="str">
        <x:v>Stillwater Mining Co</x:v>
      </x:c>
      <x:c r="G28" s="53" t="str">
        <x:v>Precious Metals &amp; Minerals</x:v>
      </x:c>
      <x:c r="H28" s="53" t="str">
        <x:v>1994-12-16</x:v>
      </x:c>
      <x:c r="I28" s="53" t="str">
        <x:v>2017-05-03</x:v>
      </x:c>
      <x:c r="J28" s="53" t="str">
        <x:v>cash_acquisition</x:v>
      </x:c>
      <x:c r="K28" s="53" t="str"/>
      <x:c r="L28" s="53" t="str">
        <x:v>Sibanye Gold</x:v>
      </x:c>
      <x:c r="M28" s="53" t="str">
        <x:v>SBSW</x:v>
      </x:c>
      <x:c r="N28" s="65" t="n">
        <x:v>1</x:v>
      </x:c>
      <x:c r="O28" s="53" t="str">
        <x:v>candidate_unapproved</x:v>
      </x:c>
      <x:c r="P28" s="53" t="str">
        <x:v>pending_primary_source</x:v>
      </x:c>
      <x:c r="Q28" s="53" t="str">
        <x:v>pending_reconstruction</x:v>
      </x:c>
      <x:c r="R28" s="53" t="str">
        <x:v>pending_reconciliation</x:v>
      </x:c>
      <x:c r="S28" s="65" t="n">
        <x:v>0</x:v>
      </x:c>
      <x:c r="T28" s="65" t="n">
        <x:v>0</x:v>
      </x:c>
      <x:c r="U28" s="60" t="str">
        <x:v>Norgate US Equities Delisted and Current &amp; Past watchlists</x:v>
      </x:c>
      <x:c r="V28" s="60" t="str"/>
      <x:c r="W28" s="60" t="str">
        <x:v>Primary PGM producer history diversifies metal exposure</x:v>
      </x:c>
      <x:c r="X28" s="61" t="str"/>
    </x:row>
    <x:row r="29">
      <x:c r="A29" s="52" t="str">
        <x:v>Basic Materials</x:v>
      </x:c>
      <x:c r="B29" s="53" t="str">
        <x:v>precious_metals_producers</x:v>
      </x:c>
      <x:c r="C29" s="53" t="str">
        <x:v>TAHO</x:v>
      </x:c>
      <x:c r="D29" s="53" t="str">
        <x:v>TAHO-201902</x:v>
      </x:c>
      <x:c r="E29" s="53" t="n">
        <x:v>517746</x:v>
      </x:c>
      <x:c r="F29" s="53" t="str">
        <x:v>Tahoe Resources Inc</x:v>
      </x:c>
      <x:c r="G29" s="53" t="str">
        <x:v>Gold</x:v>
      </x:c>
      <x:c r="H29" s="53" t="str">
        <x:v>2010-07-27</x:v>
      </x:c>
      <x:c r="I29" s="53" t="str">
        <x:v>2019-02-21</x:v>
      </x:c>
      <x:c r="J29" s="53" t="str">
        <x:v>mixed_acquisition</x:v>
      </x:c>
      <x:c r="K29" s="53" t="str"/>
      <x:c r="L29" s="53" t="str">
        <x:v>Pan American Silver</x:v>
      </x:c>
      <x:c r="M29" s="53" t="str">
        <x:v>PAAS</x:v>
      </x:c>
      <x:c r="N29" s="65" t="n">
        <x:v>1</x:v>
      </x:c>
      <x:c r="O29" s="53" t="str">
        <x:v>candidate_unapproved</x:v>
      </x:c>
      <x:c r="P29" s="53" t="str">
        <x:v>pending_primary_source</x:v>
      </x:c>
      <x:c r="Q29" s="53" t="str">
        <x:v>pending_reconstruction</x:v>
      </x:c>
      <x:c r="R29" s="53" t="str">
        <x:v>pending_reconciliation</x:v>
      </x:c>
      <x:c r="S29" s="65" t="n">
        <x:v>0</x:v>
      </x:c>
      <x:c r="T29" s="65" t="n">
        <x:v>0</x:v>
      </x:c>
      <x:c r="U29" s="60" t="str">
        <x:v>Norgate US Equities Delisted and Current &amp; Past watchlists</x:v>
      </x:c>
      <x:c r="V29" s="60" t="str"/>
      <x:c r="W29" s="60" t="str">
        <x:v>Silver and gold producer with jurisdiction and operating-risk history</x:v>
      </x:c>
      <x:c r="X29" s="61" t="str"/>
    </x:row>
    <x:row r="30">
      <x:c r="A30" s="52" t="str">
        <x:v>Basic Materials</x:v>
      </x:c>
      <x:c r="B30" s="53" t="str">
        <x:v>precious_metals_producers</x:v>
      </x:c>
      <x:c r="C30" s="53" t="str">
        <x:v>RIC</x:v>
      </x:c>
      <x:c r="D30" s="53" t="str">
        <x:v>RIC-201711</x:v>
      </x:c>
      <x:c r="E30" s="53" t="n">
        <x:v>131897</x:v>
      </x:c>
      <x:c r="F30" s="53" t="str">
        <x:v>Richmont Mines Inc</x:v>
      </x:c>
      <x:c r="G30" s="53" t="str">
        <x:v>Gold</x:v>
      </x:c>
      <x:c r="H30" s="53" t="str">
        <x:v>1997-03-06</x:v>
      </x:c>
      <x:c r="I30" s="53" t="str">
        <x:v>2017-11-22</x:v>
      </x:c>
      <x:c r="J30" s="53" t="str">
        <x:v>stock_acquisition</x:v>
      </x:c>
      <x:c r="K30" s="53" t="str"/>
      <x:c r="L30" s="53" t="str">
        <x:v>Alamos Gold</x:v>
      </x:c>
      <x:c r="M30" s="53" t="str">
        <x:v>AGI</x:v>
      </x:c>
      <x:c r="N30" s="65" t="n">
        <x:v>2</x:v>
      </x:c>
      <x:c r="O30" s="53" t="str">
        <x:v>candidate_unapproved</x:v>
      </x:c>
      <x:c r="P30" s="53" t="str">
        <x:v>pending_primary_source</x:v>
      </x:c>
      <x:c r="Q30" s="53" t="str">
        <x:v>pending_reconstruction</x:v>
      </x:c>
      <x:c r="R30" s="53" t="str">
        <x:v>pending_reconciliation</x:v>
      </x:c>
      <x:c r="S30" s="65" t="n">
        <x:v>0</x:v>
      </x:c>
      <x:c r="T30" s="65" t="n">
        <x:v>0</x:v>
      </x:c>
      <x:c r="U30" s="60" t="str">
        <x:v>Norgate US Equities Delisted and Current &amp; Past watchlists</x:v>
      </x:c>
      <x:c r="V30" s="60" t="str"/>
      <x:c r="W30" s="60" t="str">
        <x:v>Mid-cap producer history adds breadth to the cohort</x:v>
      </x:c>
      <x:c r="X30" s="61" t="str"/>
    </x:row>
    <x:row r="31">
      <x:c r="A31" s="52" t="str">
        <x:v>Basic Materials</x:v>
      </x:c>
      <x:c r="B31" s="53" t="str">
        <x:v>precious_metals_producers</x:v>
      </x:c>
      <x:c r="C31" s="53" t="str">
        <x:v>AUQ</x:v>
      </x:c>
      <x:c r="D31" s="53" t="str">
        <x:v>AUQ-201507</x:v>
      </x:c>
      <x:c r="E31" s="53" t="n">
        <x:v>138650</x:v>
      </x:c>
      <x:c r="F31" s="53" t="str">
        <x:v>AuRico Gold Inc</x:v>
      </x:c>
      <x:c r="G31" s="53" t="str">
        <x:v>Gold</x:v>
      </x:c>
      <x:c r="H31" s="53" t="str">
        <x:v>2003-09-04</x:v>
      </x:c>
      <x:c r="I31" s="53" t="str">
        <x:v>2015-07-02</x:v>
      </x:c>
      <x:c r="J31" s="53" t="str">
        <x:v>stock_merger</x:v>
      </x:c>
      <x:c r="K31" s="53" t="str"/>
      <x:c r="L31" s="53" t="str">
        <x:v>Alamos Gold</x:v>
      </x:c>
      <x:c r="M31" s="53" t="str">
        <x:v>AGI</x:v>
      </x:c>
      <x:c r="N31" s="65" t="n">
        <x:v>2</x:v>
      </x:c>
      <x:c r="O31" s="53" t="str">
        <x:v>candidate_unapproved</x:v>
      </x:c>
      <x:c r="P31" s="53" t="str">
        <x:v>pending_primary_source</x:v>
      </x:c>
      <x:c r="Q31" s="53" t="str">
        <x:v>pending_reconstruction</x:v>
      </x:c>
      <x:c r="R31" s="53" t="str">
        <x:v>pending_reconciliation</x:v>
      </x:c>
      <x:c r="S31" s="65" t="n">
        <x:v>0</x:v>
      </x:c>
      <x:c r="T31" s="65" t="n">
        <x:v>0</x:v>
      </x:c>
      <x:c r="U31" s="60" t="str">
        <x:v>Norgate US Equities Delisted and Current &amp; Past watchlists</x:v>
      </x:c>
      <x:c r="V31" s="60" t="str"/>
      <x:c r="W31" s="60" t="str">
        <x:v>Mid-cycle merger case with a long producer price history</x:v>
      </x:c>
      <x:c r="X31" s="61" t="str"/>
    </x:row>
    <x:row r="32">
      <x:c r="A32" s="52" t="str">
        <x:v>Basic Materials</x:v>
      </x:c>
      <x:c r="B32" s="53" t="str">
        <x:v>precious_metals_producers</x:v>
      </x:c>
      <x:c r="C32" s="53" t="str">
        <x:v>GSS</x:v>
      </x:c>
      <x:c r="D32" s="53" t="str">
        <x:v>GSS-202201</x:v>
      </x:c>
      <x:c r="E32" s="53" t="n">
        <x:v>145593</x:v>
      </x:c>
      <x:c r="F32" s="53" t="str">
        <x:v>Golden Star Resources Ltd</x:v>
      </x:c>
      <x:c r="G32" s="53" t="str">
        <x:v>Gold</x:v>
      </x:c>
      <x:c r="H32" s="53" t="str">
        <x:v>1993-09-01</x:v>
      </x:c>
      <x:c r="I32" s="53" t="str">
        <x:v>2022-01-27</x:v>
      </x:c>
      <x:c r="J32" s="53" t="str">
        <x:v>cash_acquisition</x:v>
      </x:c>
      <x:c r="K32" s="53" t="str"/>
      <x:c r="L32" s="53" t="str">
        <x:v>Chifeng Jilong Gold Mining</x:v>
      </x:c>
      <x:c r="M32" s="53" t="str"/>
      <x:c r="N32" s="65" t="n">
        <x:v>2</x:v>
      </x:c>
      <x:c r="O32" s="53" t="str">
        <x:v>candidate_unapproved</x:v>
      </x:c>
      <x:c r="P32" s="53" t="str">
        <x:v>pending_primary_source</x:v>
      </x:c>
      <x:c r="Q32" s="53" t="str">
        <x:v>pending_reconstruction</x:v>
      </x:c>
      <x:c r="R32" s="53" t="str">
        <x:v>pending_reconciliation</x:v>
      </x:c>
      <x:c r="S32" s="65" t="n">
        <x:v>0</x:v>
      </x:c>
      <x:c r="T32" s="65" t="n">
        <x:v>0</x:v>
      </x:c>
      <x:c r="U32" s="60" t="str">
        <x:v>Norgate US Equities Delisted and Current &amp; Past watchlists</x:v>
      </x:c>
      <x:c r="V32" s="60" t="str"/>
      <x:c r="W32" s="60" t="str">
        <x:v>Smaller producer adds operating and jurisdictional dispersion</x:v>
      </x:c>
      <x:c r="X32" s="61" t="str"/>
    </x:row>
    <x:row r="33">
      <x:c r="A33" s="52" t="str">
        <x:v>Basic Materials</x:v>
      </x:c>
      <x:c r="B33" s="53" t="str">
        <x:v>precious_metals_producers</x:v>
      </x:c>
      <x:c r="C33" s="53" t="str">
        <x:v>PVG</x:v>
      </x:c>
      <x:c r="D33" s="53" t="str">
        <x:v>PVG-202203</x:v>
      </x:c>
      <x:c r="E33" s="53" t="n">
        <x:v>539899</x:v>
      </x:c>
      <x:c r="F33" s="53" t="str">
        <x:v>Pretium Resources Inc</x:v>
      </x:c>
      <x:c r="G33" s="53" t="str">
        <x:v>Gold</x:v>
      </x:c>
      <x:c r="H33" s="53" t="str">
        <x:v>2011-01-20</x:v>
      </x:c>
      <x:c r="I33" s="53" t="str">
        <x:v>2022-03-08</x:v>
      </x:c>
      <x:c r="J33" s="53" t="str">
        <x:v>mixed_acquisition</x:v>
      </x:c>
      <x:c r="K33" s="53" t="str"/>
      <x:c r="L33" s="53" t="str">
        <x:v>Newcrest Mining</x:v>
      </x:c>
      <x:c r="M33" s="53" t="str"/>
      <x:c r="N33" s="65" t="n">
        <x:v>2</x:v>
      </x:c>
      <x:c r="O33" s="53" t="str">
        <x:v>candidate_unapproved</x:v>
      </x:c>
      <x:c r="P33" s="53" t="str">
        <x:v>pending_primary_source</x:v>
      </x:c>
      <x:c r="Q33" s="53" t="str">
        <x:v>pending_reconstruction</x:v>
      </x:c>
      <x:c r="R33" s="53" t="str">
        <x:v>pending_reconciliation</x:v>
      </x:c>
      <x:c r="S33" s="65" t="n">
        <x:v>0</x:v>
      </x:c>
      <x:c r="T33" s="65" t="n">
        <x:v>0</x:v>
      </x:c>
      <x:c r="U33" s="60" t="str">
        <x:v>Norgate US Equities Delisted and Current &amp; Past watchlists</x:v>
      </x:c>
      <x:c r="V33" s="60" t="str"/>
      <x:c r="W33" s="60" t="str">
        <x:v>Single-asset producer adds concentration-risk variation</x:v>
      </x:c>
      <x:c r="X33" s="61" t="str"/>
    </x:row>
    <x:row r="34">
      <x:c r="A34" s="52" t="str">
        <x:v>Basic Materials</x:v>
      </x:c>
      <x:c r="B34" s="53" t="str">
        <x:v>precious_metals_producers</x:v>
      </x:c>
      <x:c r="C34" s="53" t="str">
        <x:v>KLDX</x:v>
      </x:c>
      <x:c r="D34" s="53" t="str">
        <x:v>KLDX-201807</x:v>
      </x:c>
      <x:c r="E34" s="53" t="n">
        <x:v>293312</x:v>
      </x:c>
      <x:c r="F34" s="53" t="str">
        <x:v>Klondex Mines Ltd</x:v>
      </x:c>
      <x:c r="G34" s="53" t="str">
        <x:v>Gold</x:v>
      </x:c>
      <x:c r="H34" s="53" t="str">
        <x:v>2007-08-09</x:v>
      </x:c>
      <x:c r="I34" s="53" t="str">
        <x:v>2018-07-20</x:v>
      </x:c>
      <x:c r="J34" s="53" t="str">
        <x:v>mixed_acquisition</x:v>
      </x:c>
      <x:c r="K34" s="53" t="str"/>
      <x:c r="L34" s="53" t="str">
        <x:v>Hecla Mining</x:v>
      </x:c>
      <x:c r="M34" s="53" t="str">
        <x:v>HL</x:v>
      </x:c>
      <x:c r="N34" s="65" t="n">
        <x:v>2</x:v>
      </x:c>
      <x:c r="O34" s="53" t="str">
        <x:v>candidate_unapproved</x:v>
      </x:c>
      <x:c r="P34" s="53" t="str">
        <x:v>pending_primary_source</x:v>
      </x:c>
      <x:c r="Q34" s="53" t="str">
        <x:v>pending_reconstruction</x:v>
      </x:c>
      <x:c r="R34" s="53" t="str">
        <x:v>pending_reconciliation</x:v>
      </x:c>
      <x:c r="S34" s="65" t="n">
        <x:v>0</x:v>
      </x:c>
      <x:c r="T34" s="65" t="n">
        <x:v>0</x:v>
      </x:c>
      <x:c r="U34" s="60" t="str">
        <x:v>Norgate US Equities Delisted and Current &amp; Past watchlists</x:v>
      </x:c>
      <x:c r="V34" s="60" t="str"/>
      <x:c r="W34" s="60" t="str">
        <x:v>Smaller underground producer broadens operating-cost outcomes</x:v>
      </x:c>
      <x:c r="X34" s="61" t="str"/>
    </x:row>
    <x:row r="35">
      <x:c r="A35" s="52" t="str">
        <x:v>Basic Materials</x:v>
      </x:c>
      <x:c r="B35" s="53" t="str">
        <x:v>precious_metals_producers</x:v>
      </x:c>
      <x:c r="C35" s="53" t="str">
        <x:v>GATO</x:v>
      </x:c>
      <x:c r="D35" s="53" t="str">
        <x:v>GATO-202501</x:v>
      </x:c>
      <x:c r="E35" s="53" t="n">
        <x:v>2741954</x:v>
      </x:c>
      <x:c r="F35" s="53" t="str">
        <x:v>Gatos Silver Inc</x:v>
      </x:c>
      <x:c r="G35" s="53" t="str">
        <x:v>Silver</x:v>
      </x:c>
      <x:c r="H35" s="53" t="str">
        <x:v>2020-10-28</x:v>
      </x:c>
      <x:c r="I35" s="53" t="str">
        <x:v>2025-01-15</x:v>
      </x:c>
      <x:c r="J35" s="53" t="str">
        <x:v>stock_acquisition</x:v>
      </x:c>
      <x:c r="K35" s="53" t="str">
        <x:v>2025-01-16</x:v>
      </x:c>
      <x:c r="L35" s="53" t="str">
        <x:v>First Majestic Silver</x:v>
      </x:c>
      <x:c r="M35" s="53" t="str">
        <x:v>AG</x:v>
      </x:c>
      <x:c r="N35" s="65" t="n">
        <x:v>1</x:v>
      </x:c>
      <x:c r="O35" s="53" t="str">
        <x:v>candidate_unapproved</x:v>
      </x:c>
      <x:c r="P35" s="53" t="str">
        <x:v>source_found_terminal_pending</x:v>
      </x:c>
      <x:c r="Q35" s="53" t="str">
        <x:v>pending_reconstruction</x:v>
      </x:c>
      <x:c r="R35" s="53" t="str">
        <x:v>pending_reconciliation</x:v>
      </x:c>
      <x:c r="S35" s="65" t="n">
        <x:v>0</x:v>
      </x:c>
      <x:c r="T35" s="65" t="n">
        <x:v>0</x:v>
      </x:c>
      <x:c r="U35" s="60" t="str">
        <x:v>Norgate US Equities Delisted and Current &amp; Past watchlists</x:v>
      </x:c>
      <x:c r="V35" s="60" t="str">
        <x:v>https://www.sec.gov/Archives/edgar/data/1308648/000106299325000816/exhibit99-1.htm</x:v>
      </x:c>
      <x:c r="W35" s="60" t="str">
        <x:v>Recent silver producer exit with clean source and provider coverage</x:v>
      </x:c>
      <x:c r="X35" s="61" t="str"/>
    </x:row>
    <x:row r="36">
      <x:c r="A36" s="52" t="str">
        <x:v>Basic Materials</x:v>
      </x:c>
      <x:c r="B36" s="53" t="str">
        <x:v>precious_metals_producers</x:v>
      </x:c>
      <x:c r="C36" s="53" t="str">
        <x:v>ANV</x:v>
      </x:c>
      <x:c r="D36" s="53" t="str">
        <x:v>ANVGQ-201510</x:v>
      </x:c>
      <x:c r="E36" s="53" t="n">
        <x:v>277023</x:v>
      </x:c>
      <x:c r="F36" s="53" t="str">
        <x:v>Allied Nevada Gold Corp</x:v>
      </x:c>
      <x:c r="G36" s="53" t="str">
        <x:v>Gold</x:v>
      </x:c>
      <x:c r="H36" s="53" t="str">
        <x:v>2007-05-10</x:v>
      </x:c>
      <x:c r="I36" s="53" t="str">
        <x:v>2015-10-21</x:v>
      </x:c>
      <x:c r="J36" s="53" t="str">
        <x:v>bankruptcy_reorganization</x:v>
      </x:c>
      <x:c r="K36" s="53" t="str">
        <x:v>2015-03-10</x:v>
      </x:c>
      <x:c r="L36" s="53" t="str">
        <x:v>Chapter 11 creditors</x:v>
      </x:c>
      <x:c r="M36" s="53" t="str"/>
      <x:c r="N36" s="65" t="n">
        <x:v>1</x:v>
      </x:c>
      <x:c r="O36" s="53" t="str">
        <x:v>candidate_unapproved</x:v>
      </x:c>
      <x:c r="P36" s="53" t="str">
        <x:v>source_found_terminal_pending</x:v>
      </x:c>
      <x:c r="Q36" s="53" t="str">
        <x:v>pending_reconstruction</x:v>
      </x:c>
      <x:c r="R36" s="53" t="str">
        <x:v>pending_reconciliation</x:v>
      </x:c>
      <x:c r="S36" s="65" t="n">
        <x:v>0</x:v>
      </x:c>
      <x:c r="T36" s="65" t="n">
        <x:v>0</x:v>
      </x:c>
      <x:c r="U36" s="60" t="str">
        <x:v>Norgate US Equities Delisted and Current &amp; Past watchlists</x:v>
      </x:c>
      <x:c r="V36" s="60" t="str">
        <x:v>https://www.sec.gov/Archives/edgar/data/1376610/000119312515084300/d889389d8k.htm</x:v>
      </x:c>
      <x:c r="W36" s="60" t="str">
        <x:v>Left-tail distress case with real mine operations and impaired old equity</x:v>
      </x:c>
      <x:c r="X36" s="61" t="str">
        <x:v>Historical listed ticker ANV then OTC ticker ANVGQ; alias and old-equity treatment require review</x:v>
      </x:c>
    </x:row>
    <x:row r="37">
      <x:c r="A37" s="52" t="str">
        <x:v>Basic Materials</x:v>
      </x:c>
      <x:c r="B37" s="53" t="str">
        <x:v>industrial_metals_mining</x:v>
      </x:c>
      <x:c r="C37" s="53" t="str">
        <x:v>ACO</x:v>
      </x:c>
      <x:c r="D37" s="53" t="str">
        <x:v>ACO-201405</x:v>
      </x:c>
      <x:c r="E37" s="53" t="n">
        <x:v>144759</x:v>
      </x:c>
      <x:c r="F37" s="53" t="str">
        <x:v>AMCOL International Corp</x:v>
      </x:c>
      <x:c r="G37" s="53" t="str">
        <x:v>Diversified Metals &amp; Mining</x:v>
      </x:c>
      <x:c r="H37" s="53" t="str">
        <x:v>1990-01-02</x:v>
      </x:c>
      <x:c r="I37" s="53" t="str">
        <x:v>2014-05-09</x:v>
      </x:c>
      <x:c r="J37" s="53" t="str">
        <x:v>cash_acquisition</x:v>
      </x:c>
      <x:c r="K37" s="53" t="str"/>
      <x:c r="L37" s="53" t="str">
        <x:v>Minerals Technologies</x:v>
      </x:c>
      <x:c r="M37" s="53" t="str">
        <x:v>MTX</x:v>
      </x:c>
      <x:c r="N37" s="65" t="n">
        <x:v>1</x:v>
      </x:c>
      <x:c r="O37" s="53" t="str">
        <x:v>candidate_unapproved</x:v>
      </x:c>
      <x:c r="P37" s="53" t="str">
        <x:v>pending_primary_source</x:v>
      </x:c>
      <x:c r="Q37" s="53" t="str">
        <x:v>pending_reconstruction</x:v>
      </x:c>
      <x:c r="R37" s="53" t="str">
        <x:v>pending_reconciliation</x:v>
      </x:c>
      <x:c r="S37" s="65" t="n">
        <x:v>0</x:v>
      </x:c>
      <x:c r="T37" s="65" t="n">
        <x:v>0</x:v>
      </x:c>
      <x:c r="U37" s="60" t="str">
        <x:v>Norgate US Equities Delisted and Current &amp; Past watchlists</x:v>
      </x:c>
      <x:c r="V37" s="60" t="str"/>
      <x:c r="W37" s="60" t="str">
        <x:v>Industrial minerals analogue with a long public history</x:v>
      </x:c>
      <x:c r="X37" s="61" t="str"/>
    </x:row>
    <x:row r="38">
      <x:c r="A38" s="52" t="str">
        <x:v>Basic Materials</x:v>
      </x:c>
      <x:c r="B38" s="53" t="str">
        <x:v>industrial_metals_mining</x:v>
      </x:c>
      <x:c r="C38" s="53" t="str">
        <x:v>RTI</x:v>
      </x:c>
      <x:c r="D38" s="53" t="str">
        <x:v>RTI-201507</x:v>
      </x:c>
      <x:c r="E38" s="53" t="n">
        <x:v>135404</x:v>
      </x:c>
      <x:c r="F38" s="53" t="str">
        <x:v>RTI International Metals Inc</x:v>
      </x:c>
      <x:c r="G38" s="53" t="str">
        <x:v>Diversified Metals &amp; Mining</x:v>
      </x:c>
      <x:c r="H38" s="53" t="str">
        <x:v>1990-04-12</x:v>
      </x:c>
      <x:c r="I38" s="53" t="str">
        <x:v>2015-07-22</x:v>
      </x:c>
      <x:c r="J38" s="53" t="str">
        <x:v>stock_acquisition</x:v>
      </x:c>
      <x:c r="K38" s="53" t="str"/>
      <x:c r="L38" s="53" t="str">
        <x:v>Alcoa</x:v>
      </x:c>
      <x:c r="M38" s="53" t="str">
        <x:v>AA</x:v>
      </x:c>
      <x:c r="N38" s="65" t="n">
        <x:v>1</x:v>
      </x:c>
      <x:c r="O38" s="53" t="str">
        <x:v>candidate_unapproved</x:v>
      </x:c>
      <x:c r="P38" s="53" t="str">
        <x:v>pending_primary_source</x:v>
      </x:c>
      <x:c r="Q38" s="53" t="str">
        <x:v>pending_reconstruction</x:v>
      </x:c>
      <x:c r="R38" s="53" t="str">
        <x:v>pending_reconciliation</x:v>
      </x:c>
      <x:c r="S38" s="65" t="n">
        <x:v>0</x:v>
      </x:c>
      <x:c r="T38" s="65" t="n">
        <x:v>0</x:v>
      </x:c>
      <x:c r="U38" s="60" t="str">
        <x:v>Norgate US Equities Delisted and Current &amp; Past watchlists</x:v>
      </x:c>
      <x:c r="V38" s="60" t="str"/>
      <x:c r="W38" s="60" t="str">
        <x:v>Titanium and engineered-metals history relevant to MTRN</x:v>
      </x:c>
      <x:c r="X38" s="61" t="str"/>
    </x:row>
    <x:row r="39">
      <x:c r="A39" s="52" t="str">
        <x:v>Basic Materials</x:v>
      </x:c>
      <x:c r="B39" s="53" t="str">
        <x:v>industrial_metals_mining</x:v>
      </x:c>
      <x:c r="C39" s="53" t="str">
        <x:v>TIE</x:v>
      </x:c>
      <x:c r="D39" s="53" t="str">
        <x:v>TIE-201301</x:v>
      </x:c>
      <x:c r="E39" s="53" t="n">
        <x:v>138398</x:v>
      </x:c>
      <x:c r="F39" s="53" t="str">
        <x:v>Titanium Metals Corp</x:v>
      </x:c>
      <x:c r="G39" s="53" t="str">
        <x:v>Diversified Metals &amp; Mining</x:v>
      </x:c>
      <x:c r="H39" s="53" t="str">
        <x:v>1996-06-05</x:v>
      </x:c>
      <x:c r="I39" s="53" t="str">
        <x:v>2013-01-07</x:v>
      </x:c>
      <x:c r="J39" s="53" t="str">
        <x:v>cash_acquisition</x:v>
      </x:c>
      <x:c r="K39" s="53" t="str"/>
      <x:c r="L39" s="53" t="str">
        <x:v>Precision Castparts</x:v>
      </x:c>
      <x:c r="M39" s="53" t="str">
        <x:v>PCP</x:v>
      </x:c>
      <x:c r="N39" s="65" t="n">
        <x:v>2</x:v>
      </x:c>
      <x:c r="O39" s="53" t="str">
        <x:v>candidate_unapproved</x:v>
      </x:c>
      <x:c r="P39" s="53" t="str">
        <x:v>pending_primary_source</x:v>
      </x:c>
      <x:c r="Q39" s="53" t="str">
        <x:v>pending_reconstruction</x:v>
      </x:c>
      <x:c r="R39" s="53" t="str">
        <x:v>pending_reconciliation</x:v>
      </x:c>
      <x:c r="S39" s="65" t="n">
        <x:v>0</x:v>
      </x:c>
      <x:c r="T39" s="65" t="n">
        <x:v>0</x:v>
      </x:c>
      <x:c r="U39" s="60" t="str">
        <x:v>Norgate US Equities Delisted and Current &amp; Past watchlists</x:v>
      </x:c>
      <x:c r="V39" s="60" t="str"/>
      <x:c r="W39" s="60" t="str">
        <x:v>Titanium-cycle history and a nested successor-chain case</x:v>
      </x:c>
      <x:c r="X39" s="61" t="str"/>
    </x:row>
    <x:row r="40">
      <x:c r="A40" s="52" t="str">
        <x:v>Basic Materials</x:v>
      </x:c>
      <x:c r="B40" s="53" t="str">
        <x:v>industrial_metals_mining</x:v>
      </x:c>
      <x:c r="C40" s="53" t="str">
        <x:v>TRQ</x:v>
      </x:c>
      <x:c r="D40" s="53" t="str">
        <x:v>TRQ-202212</x:v>
      </x:c>
      <x:c r="E40" s="53" t="n">
        <x:v>146008</x:v>
      </x:c>
      <x:c r="F40" s="53" t="str">
        <x:v>Turquoise Hill Resources Ltd</x:v>
      </x:c>
      <x:c r="G40" s="53" t="str">
        <x:v>Diversified Metals &amp; Mining</x:v>
      </x:c>
      <x:c r="H40" s="53" t="str">
        <x:v>2003-05-01</x:v>
      </x:c>
      <x:c r="I40" s="53" t="str">
        <x:v>2022-12-15</x:v>
      </x:c>
      <x:c r="J40" s="53" t="str">
        <x:v>cash_acquisition</x:v>
      </x:c>
      <x:c r="K40" s="53" t="str"/>
      <x:c r="L40" s="53" t="str">
        <x:v>Rio Tinto</x:v>
      </x:c>
      <x:c r="M40" s="53" t="str">
        <x:v>RIO</x:v>
      </x:c>
      <x:c r="N40" s="65" t="n">
        <x:v>1</x:v>
      </x:c>
      <x:c r="O40" s="53" t="str">
        <x:v>candidate_unapproved</x:v>
      </x:c>
      <x:c r="P40" s="53" t="str">
        <x:v>pending_primary_source</x:v>
      </x:c>
      <x:c r="Q40" s="53" t="str">
        <x:v>pending_reconstruction</x:v>
      </x:c>
      <x:c r="R40" s="53" t="str">
        <x:v>pending_reconciliation</x:v>
      </x:c>
      <x:c r="S40" s="65" t="n">
        <x:v>0</x:v>
      </x:c>
      <x:c r="T40" s="65" t="n">
        <x:v>0</x:v>
      </x:c>
      <x:c r="U40" s="60" t="str">
        <x:v>Norgate US Equities Delisted and Current &amp; Past watchlists</x:v>
      </x:c>
      <x:c r="V40" s="60" t="str"/>
      <x:c r="W40" s="60" t="str">
        <x:v>Large copper-development and operating history with project concentration</x:v>
      </x:c>
      <x:c r="X40" s="61" t="str"/>
    </x:row>
    <x:row r="41">
      <x:c r="A41" s="52" t="str">
        <x:v>Basic Materials</x:v>
      </x:c>
      <x:c r="B41" s="53" t="str">
        <x:v>industrial_metals_mining</x:v>
      </x:c>
      <x:c r="C41" s="53" t="str">
        <x:v>PLM</x:v>
      </x:c>
      <x:c r="D41" s="53" t="str">
        <x:v>PLM-202311</x:v>
      </x:c>
      <x:c r="E41" s="53" t="n">
        <x:v>142254</x:v>
      </x:c>
      <x:c r="F41" s="53" t="str">
        <x:v>PolyMet Mining Corp</x:v>
      </x:c>
      <x:c r="G41" s="53" t="str">
        <x:v>Diversified Metals &amp; Mining</x:v>
      </x:c>
      <x:c r="H41" s="53" t="str">
        <x:v>2000-10-12</x:v>
      </x:c>
      <x:c r="I41" s="53" t="str">
        <x:v>2023-11-06</x:v>
      </x:c>
      <x:c r="J41" s="53" t="str">
        <x:v>cash_acquisition</x:v>
      </x:c>
      <x:c r="K41" s="53" t="str"/>
      <x:c r="L41" s="53" t="str">
        <x:v>Glencore</x:v>
      </x:c>
      <x:c r="M41" s="53" t="str"/>
      <x:c r="N41" s="65" t="n">
        <x:v>1</x:v>
      </x:c>
      <x:c r="O41" s="53" t="str">
        <x:v>candidate_unapproved</x:v>
      </x:c>
      <x:c r="P41" s="53" t="str">
        <x:v>pending_primary_source</x:v>
      </x:c>
      <x:c r="Q41" s="53" t="str">
        <x:v>pending_reconstruction</x:v>
      </x:c>
      <x:c r="R41" s="53" t="str">
        <x:v>pending_reconciliation</x:v>
      </x:c>
      <x:c r="S41" s="65" t="n">
        <x:v>0</x:v>
      </x:c>
      <x:c r="T41" s="65" t="n">
        <x:v>0</x:v>
      </x:c>
      <x:c r="U41" s="60" t="str">
        <x:v>Norgate US Equities Delisted and Current &amp; Past watchlists</x:v>
      </x:c>
      <x:c r="V41" s="60" t="str"/>
      <x:c r="W41" s="60" t="str">
        <x:v>Long-duration mine-development case with permitting risk</x:v>
      </x:c>
      <x:c r="X41" s="61" t="str"/>
    </x:row>
    <x:row r="42">
      <x:c r="A42" s="52" t="str">
        <x:v>Basic Materials</x:v>
      </x:c>
      <x:c r="B42" s="53" t="str">
        <x:v>industrial_metals_mining</x:v>
      </x:c>
      <x:c r="C42" s="53" t="str">
        <x:v>MCP</x:v>
      </x:c>
      <x:c r="D42" s="53" t="str">
        <x:v>MCPIQ-201608</x:v>
      </x:c>
      <x:c r="E42" s="53" t="n">
        <x:v>509303</x:v>
      </x:c>
      <x:c r="F42" s="53" t="str">
        <x:v>Molycorp Inc</x:v>
      </x:c>
      <x:c r="G42" s="53" t="str">
        <x:v>Diversified Metals &amp; Mining</x:v>
      </x:c>
      <x:c r="H42" s="53" t="str">
        <x:v>2010-07-29</x:v>
      </x:c>
      <x:c r="I42" s="53" t="str">
        <x:v>2016-08-31</x:v>
      </x:c>
      <x:c r="J42" s="53" t="str">
        <x:v>bankruptcy_reorganization</x:v>
      </x:c>
      <x:c r="K42" s="53" t="str">
        <x:v>2015-06-25</x:v>
      </x:c>
      <x:c r="L42" s="53" t="str">
        <x:v>Chapter 11 creditors</x:v>
      </x:c>
      <x:c r="M42" s="53" t="str"/>
      <x:c r="N42" s="65" t="n">
        <x:v>1</x:v>
      </x:c>
      <x:c r="O42" s="53" t="str">
        <x:v>candidate_unapproved</x:v>
      </x:c>
      <x:c r="P42" s="53" t="str">
        <x:v>source_found_terminal_pending</x:v>
      </x:c>
      <x:c r="Q42" s="53" t="str">
        <x:v>pending_reconstruction</x:v>
      </x:c>
      <x:c r="R42" s="53" t="str">
        <x:v>pending_reconciliation</x:v>
      </x:c>
      <x:c r="S42" s="65" t="n">
        <x:v>0</x:v>
      </x:c>
      <x:c r="T42" s="65" t="n">
        <x:v>0</x:v>
      </x:c>
      <x:c r="U42" s="60" t="str">
        <x:v>Norgate US Equities Delisted and Current &amp; Past watchlists</x:v>
      </x:c>
      <x:c r="V42" s="60" t="str">
        <x:v>https://www.sec.gov/Archives/edgar/data/1489137/000148913715000065/mcp630201510q.htm</x:v>
      </x:c>
      <x:c r="W42" s="60" t="str">
        <x:v>Essential rare-earth left-tail failure case</x:v>
      </x:c>
      <x:c r="X42" s="61" t="str">
        <x:v>Historical listed ticker MCP then OTC MCPIQ; do not infer a direct equity successor from later Mountain Pass ownership</x:v>
      </x:c>
    </x:row>
    <x:row r="43">
      <x:c r="A43" s="52" t="str">
        <x:v>Basic Materials</x:v>
      </x:c>
      <x:c r="B43" s="53" t="str">
        <x:v>industrial_metals_mining</x:v>
      </x:c>
      <x:c r="C43" s="53" t="str">
        <x:v>GMO</x:v>
      </x:c>
      <x:c r="D43" s="53" t="str">
        <x:v>GMOLQ-202107</x:v>
      </x:c>
      <x:c r="E43" s="53" t="n">
        <x:v>155750</x:v>
      </x:c>
      <x:c r="F43" s="53" t="str">
        <x:v>General Moly Inc</x:v>
      </x:c>
      <x:c r="G43" s="53" t="str">
        <x:v>Diversified Metals &amp; Mining</x:v>
      </x:c>
      <x:c r="H43" s="53" t="str">
        <x:v>2004-06-09</x:v>
      </x:c>
      <x:c r="I43" s="53" t="str">
        <x:v>2021-07-06</x:v>
      </x:c>
      <x:c r="J43" s="53" t="str">
        <x:v>bankruptcy_reorganization</x:v>
      </x:c>
      <x:c r="K43" s="53" t="str">
        <x:v>2020-11-18</x:v>
      </x:c>
      <x:c r="L43" s="53" t="str">
        <x:v>Chapter 11 creditors</x:v>
      </x:c>
      <x:c r="M43" s="53" t="str"/>
      <x:c r="N43" s="65" t="n">
        <x:v>1</x:v>
      </x:c>
      <x:c r="O43" s="53" t="str">
        <x:v>candidate_unapproved</x:v>
      </x:c>
      <x:c r="P43" s="53" t="str">
        <x:v>source_found_terminal_pending</x:v>
      </x:c>
      <x:c r="Q43" s="53" t="str">
        <x:v>pending_reconstruction</x:v>
      </x:c>
      <x:c r="R43" s="53" t="str">
        <x:v>pending_reconciliation</x:v>
      </x:c>
      <x:c r="S43" s="65" t="n">
        <x:v>0</x:v>
      </x:c>
      <x:c r="T43" s="65" t="n">
        <x:v>0</x:v>
      </x:c>
      <x:c r="U43" s="60" t="str">
        <x:v>Norgate US Equities Delisted and Current &amp; Past watchlists</x:v>
      </x:c>
      <x:c r="V43" s="60" t="str">
        <x:v>https://www.sec.gov/Archives/edgar/data/1275229/000165495420012741/gmo_8k.htm</x:v>
      </x:c>
      <x:c r="W43" s="60" t="str">
        <x:v>Pre-production molybdenum failure adds lifecycle and financing risk</x:v>
      </x:c>
      <x:c r="X43" s="61" t="str">
        <x:v>Historical listed ticker GMO then OTC GMOLQ</x:v>
      </x:c>
    </x:row>
    <x:row r="44">
      <x:c r="A44" s="52" t="str">
        <x:v>Basic Materials</x:v>
      </x:c>
      <x:c r="B44" s="53" t="str">
        <x:v>industrial_metals_mining</x:v>
      </x:c>
      <x:c r="C44" s="53" t="str">
        <x:v>ZINC</x:v>
      </x:c>
      <x:c r="D44" s="53" t="str">
        <x:v>ZINCQ-201609</x:v>
      </x:c>
      <x:c r="E44" s="53" t="n">
        <x:v>293440</x:v>
      </x:c>
      <x:c r="F44" s="53" t="str">
        <x:v>Horsehead Holding Corp</x:v>
      </x:c>
      <x:c r="G44" s="53" t="str">
        <x:v>Diversified Metals &amp; Mining</x:v>
      </x:c>
      <x:c r="H44" s="53" t="str">
        <x:v>2007-08-10</x:v>
      </x:c>
      <x:c r="I44" s="53" t="str">
        <x:v>2016-09-30</x:v>
      </x:c>
      <x:c r="J44" s="53" t="str">
        <x:v>bankruptcy_reorganization</x:v>
      </x:c>
      <x:c r="K44" s="53" t="str"/>
      <x:c r="L44" s="53" t="str">
        <x:v>Chapter 11 creditors</x:v>
      </x:c>
      <x:c r="M44" s="53" t="str"/>
      <x:c r="N44" s="65" t="n">
        <x:v>1</x:v>
      </x:c>
      <x:c r="O44" s="53" t="str">
        <x:v>candidate_unapproved</x:v>
      </x:c>
      <x:c r="P44" s="53" t="str">
        <x:v>source_found_terminal_pending</x:v>
      </x:c>
      <x:c r="Q44" s="53" t="str">
        <x:v>pending_reconstruction</x:v>
      </x:c>
      <x:c r="R44" s="53" t="str">
        <x:v>pending_reconciliation</x:v>
      </x:c>
      <x:c r="S44" s="65" t="n">
        <x:v>0</x:v>
      </x:c>
      <x:c r="T44" s="65" t="n">
        <x:v>0</x:v>
      </x:c>
      <x:c r="U44" s="60" t="str">
        <x:v>Norgate US Equities Delisted and Current &amp; Past watchlists</x:v>
      </x:c>
      <x:c r="V44" s="60" t="str">
        <x:v>https://www.sec.gov/Archives/edgar/data/1385544/000119312516725717/d245042d10q.htm</x:v>
      </x:c>
      <x:c r="W44" s="60" t="str">
        <x:v>Zinc producer and recycler adds operational-ramp failure risk</x:v>
      </x:c>
      <x:c r="X44" s="61" t="str">
        <x:v>Historical listed ticker ZINC then OTC ZINCQ</x:v>
      </x:c>
    </x:row>
    <x:row r="45">
      <x:c r="A45" s="52" t="str">
        <x:v>Basic Materials</x:v>
      </x:c>
      <x:c r="B45" s="53" t="str">
        <x:v>industrial_metals_mining</x:v>
      </x:c>
      <x:c r="C45" s="53" t="str">
        <x:v>TC</x:v>
      </x:c>
      <x:c r="D45" s="53" t="str">
        <x:v>TCPTF-201610</x:v>
      </x:c>
      <x:c r="E45" s="53" t="n">
        <x:v>207486</x:v>
      </x:c>
      <x:c r="F45" s="53" t="str">
        <x:v>Thompson Creek Metals Company Inc</x:v>
      </x:c>
      <x:c r="G45" s="53" t="str">
        <x:v>Diversified Metals &amp; Mining</x:v>
      </x:c>
      <x:c r="H45" s="53" t="str">
        <x:v>2005-04-27</x:v>
      </x:c>
      <x:c r="I45" s="53" t="str">
        <x:v>2016-10-21</x:v>
      </x:c>
      <x:c r="J45" s="53" t="str">
        <x:v>stock_acquisition</x:v>
      </x:c>
      <x:c r="K45" s="53" t="str"/>
      <x:c r="L45" s="53" t="str">
        <x:v>Centerra Gold</x:v>
      </x:c>
      <x:c r="M45" s="53" t="str">
        <x:v>CGAU</x:v>
      </x:c>
      <x:c r="N45" s="65" t="n">
        <x:v>2</x:v>
      </x:c>
      <x:c r="O45" s="53" t="str">
        <x:v>candidate_unapproved</x:v>
      </x:c>
      <x:c r="P45" s="53" t="str">
        <x:v>pending_primary_source</x:v>
      </x:c>
      <x:c r="Q45" s="53" t="str">
        <x:v>pending_reconstruction</x:v>
      </x:c>
      <x:c r="R45" s="53" t="str">
        <x:v>pending_reconciliation</x:v>
      </x:c>
      <x:c r="S45" s="65" t="n">
        <x:v>0</x:v>
      </x:c>
      <x:c r="T45" s="65" t="n">
        <x:v>0</x:v>
      </x:c>
      <x:c r="U45" s="60" t="str">
        <x:v>Norgate US Equities Delisted and Current &amp; Past watchlists</x:v>
      </x:c>
      <x:c r="V45" s="60" t="str"/>
      <x:c r="W45" s="60" t="str">
        <x:v>Molybdenum and copper-gold operating history across commodity cycles</x:v>
      </x:c>
      <x:c r="X45" s="61" t="str">
        <x:v>Historical listed ticker TC then OTC TCPTF</x:v>
      </x:c>
    </x:row>
    <x:row r="46">
      <x:c r="A46" s="52" t="str">
        <x:v>Basic Materials</x:v>
      </x:c>
      <x:c r="B46" s="53" t="str">
        <x:v>industrial_metals_mining</x:v>
      </x:c>
      <x:c r="C46" s="53" t="str">
        <x:v>ALTM</x:v>
      </x:c>
      <x:c r="D46" s="53" t="str">
        <x:v>ALTM-202503</x:v>
      </x:c>
      <x:c r="E46" s="53" t="n">
        <x:v>3463459</x:v>
      </x:c>
      <x:c r="F46" s="53" t="str">
        <x:v>Arcadium Lithium PLC</x:v>
      </x:c>
      <x:c r="G46" s="53" t="str">
        <x:v>Specialty Chemicals</x:v>
      </x:c>
      <x:c r="H46" s="53" t="str">
        <x:v>2024-01-04</x:v>
      </x:c>
      <x:c r="I46" s="53" t="str">
        <x:v>2025-03-05</x:v>
      </x:c>
      <x:c r="J46" s="53" t="str">
        <x:v>cash_acquisition</x:v>
      </x:c>
      <x:c r="K46" s="53" t="str">
        <x:v>2025-03-06</x:v>
      </x:c>
      <x:c r="L46" s="53" t="str">
        <x:v>Rio Tinto</x:v>
      </x:c>
      <x:c r="M46" s="53" t="str">
        <x:v>RIO</x:v>
      </x:c>
      <x:c r="N46" s="65" t="n">
        <x:v>1</x:v>
      </x:c>
      <x:c r="O46" s="53" t="str">
        <x:v>candidate_unapproved</x:v>
      </x:c>
      <x:c r="P46" s="53" t="str">
        <x:v>source_found_terminal_pending</x:v>
      </x:c>
      <x:c r="Q46" s="53" t="str">
        <x:v>pending_reconstruction</x:v>
      </x:c>
      <x:c r="R46" s="53" t="str">
        <x:v>pending_reconciliation</x:v>
      </x:c>
      <x:c r="S46" s="65" t="n">
        <x:v>0</x:v>
      </x:c>
      <x:c r="T46" s="65" t="n">
        <x:v>0</x:v>
      </x:c>
      <x:c r="U46" s="60" t="str">
        <x:v>Norgate US Equities Delisted and Current &amp; Past watchlists</x:v>
      </x:c>
      <x:c r="V46" s="60" t="str">
        <x:v>https://www.sec.gov/Archives/edgar/data/1977303/000095010325003078/dp225911_8k.htm</x:v>
      </x:c>
      <x:c r="W46" s="60" t="str">
        <x:v>Recent lithium producer and processor exit relevant to ALB and LAR</x:v>
      </x:c>
      <x:c r="X46" s="61" t="str">
        <x:v>Short standalone history requires predecessor lineage before calibration</x:v>
      </x:c>
    </x:row>
    <x:row r="47">
      <x:c r="A47" s="52" t="str">
        <x:v>Basic Materials</x:v>
      </x:c>
      <x:c r="B47" s="53" t="str">
        <x:v>industrial_metals_mining</x:v>
      </x:c>
      <x:c r="C47" s="53" t="str">
        <x:v>BRSS</x:v>
      </x:c>
      <x:c r="D47" s="53" t="str">
        <x:v>BRSS-201907</x:v>
      </x:c>
      <x:c r="E47" s="53" t="n">
        <x:v>783074</x:v>
      </x:c>
      <x:c r="F47" s="53" t="str">
        <x:v>Global Brass and Copper Holdings Inc</x:v>
      </x:c>
      <x:c r="G47" s="53" t="str">
        <x:v>Diversified Metals &amp; Mining</x:v>
      </x:c>
      <x:c r="H47" s="53" t="str">
        <x:v>2013-05-23</x:v>
      </x:c>
      <x:c r="I47" s="53" t="str">
        <x:v>2019-07-15</x:v>
      </x:c>
      <x:c r="J47" s="53" t="str">
        <x:v>cash_acquisition</x:v>
      </x:c>
      <x:c r="K47" s="53" t="str"/>
      <x:c r="L47" s="53" t="str">
        <x:v>Wieland-Werke</x:v>
      </x:c>
      <x:c r="M47" s="53" t="str"/>
      <x:c r="N47" s="65" t="n">
        <x:v>2</x:v>
      </x:c>
      <x:c r="O47" s="53" t="str">
        <x:v>candidate_unapproved</x:v>
      </x:c>
      <x:c r="P47" s="53" t="str">
        <x:v>pending_primary_source</x:v>
      </x:c>
      <x:c r="Q47" s="53" t="str">
        <x:v>pending_reconstruction</x:v>
      </x:c>
      <x:c r="R47" s="53" t="str">
        <x:v>pending_reconciliation</x:v>
      </x:c>
      <x:c r="S47" s="65" t="n">
        <x:v>0</x:v>
      </x:c>
      <x:c r="T47" s="65" t="n">
        <x:v>0</x:v>
      </x:c>
      <x:c r="U47" s="60" t="str">
        <x:v>Norgate US Equities Delisted and Current &amp; Past watchlists</x:v>
      </x:c>
      <x:c r="V47" s="60" t="str"/>
      <x:c r="W47" s="60" t="str">
        <x:v>Fabricated copper-alloy analogue with industrial demand sensitivity</x:v>
      </x:c>
      <x:c r="X47" s="61" t="str"/>
    </x:row>
    <x:row r="48">
      <x:c r="A48" s="52" t="str">
        <x:v>Basic Materials</x:v>
      </x:c>
      <x:c r="B48" s="53" t="str">
        <x:v>commodity_chemicals</x:v>
      </x:c>
      <x:c r="C48" s="53" t="str">
        <x:v>AXLL</x:v>
      </x:c>
      <x:c r="D48" s="53" t="str">
        <x:v>AXLL-201608</x:v>
      </x:c>
      <x:c r="E48" s="53" t="n">
        <x:v>128621</x:v>
      </x:c>
      <x:c r="F48" s="53" t="str">
        <x:v>Axiall Corp</x:v>
      </x:c>
      <x:c r="G48" s="53" t="str">
        <x:v>Commodity Chemicals</x:v>
      </x:c>
      <x:c r="H48" s="53" t="str">
        <x:v>1990-01-02</x:v>
      </x:c>
      <x:c r="I48" s="53" t="str">
        <x:v>2016-08-30</x:v>
      </x:c>
      <x:c r="J48" s="53" t="str">
        <x:v>cash_acquisition</x:v>
      </x:c>
      <x:c r="K48" s="53" t="str"/>
      <x:c r="L48" s="53" t="str">
        <x:v>Westlake Chemical</x:v>
      </x:c>
      <x:c r="M48" s="53" t="str">
        <x:v>WLK</x:v>
      </x:c>
      <x:c r="N48" s="65" t="n">
        <x:v>1</x:v>
      </x:c>
      <x:c r="O48" s="53" t="str">
        <x:v>candidate_unapproved</x:v>
      </x:c>
      <x:c r="P48" s="53" t="str">
        <x:v>pending_primary_source</x:v>
      </x:c>
      <x:c r="Q48" s="53" t="str">
        <x:v>pending_reconstruction</x:v>
      </x:c>
      <x:c r="R48" s="53" t="str">
        <x:v>pending_reconciliation</x:v>
      </x:c>
      <x:c r="S48" s="65" t="n">
        <x:v>0</x:v>
      </x:c>
      <x:c r="T48" s="65" t="n">
        <x:v>0</x:v>
      </x:c>
      <x:c r="U48" s="60" t="str">
        <x:v>Norgate US Equities Delisted and Current &amp; Past watchlists</x:v>
      </x:c>
      <x:c r="V48" s="60" t="str"/>
      <x:c r="W48" s="60" t="str">
        <x:v>Direct chlor-alkali and vinyls analogue with a long cycle history</x:v>
      </x:c>
      <x:c r="X48" s="61" t="str">
        <x:v>Historical lineage includes Georgia Gulf and ticker GGC</x:v>
      </x:c>
    </x:row>
    <x:row r="49">
      <x:c r="A49" s="52" t="str">
        <x:v>Basic Materials</x:v>
      </x:c>
      <x:c r="B49" s="53" t="str">
        <x:v>commodity_chemicals</x:v>
      </x:c>
      <x:c r="C49" s="53" t="str">
        <x:v>TPCG</x:v>
      </x:c>
      <x:c r="D49" s="53" t="str">
        <x:v>TPCG-201212</x:v>
      </x:c>
      <x:c r="E49" s="53" t="n">
        <x:v>304376</x:v>
      </x:c>
      <x:c r="F49" s="53" t="str">
        <x:v>TPC Group Inc</x:v>
      </x:c>
      <x:c r="G49" s="53" t="str">
        <x:v>Commodity Chemicals</x:v>
      </x:c>
      <x:c r="H49" s="53" t="str">
        <x:v>2004-06-07</x:v>
      </x:c>
      <x:c r="I49" s="53" t="str">
        <x:v>2012-12-20</x:v>
      </x:c>
      <x:c r="J49" s="53" t="str">
        <x:v>cash_acquisition</x:v>
      </x:c>
      <x:c r="K49" s="53" t="str"/>
      <x:c r="L49" s="53" t="str">
        <x:v>First Reserve and SK Capital</x:v>
      </x:c>
      <x:c r="M49" s="53" t="str"/>
      <x:c r="N49" s="65" t="n">
        <x:v>2</x:v>
      </x:c>
      <x:c r="O49" s="53" t="str">
        <x:v>candidate_unapproved</x:v>
      </x:c>
      <x:c r="P49" s="53" t="str">
        <x:v>pending_primary_source</x:v>
      </x:c>
      <x:c r="Q49" s="53" t="str">
        <x:v>pending_reconstruction</x:v>
      </x:c>
      <x:c r="R49" s="53" t="str">
        <x:v>pending_reconciliation</x:v>
      </x:c>
      <x:c r="S49" s="65" t="n">
        <x:v>0</x:v>
      </x:c>
      <x:c r="T49" s="65" t="n">
        <x:v>0</x:v>
      </x:c>
      <x:c r="U49" s="60" t="str">
        <x:v>Norgate US Equities Delisted and Current &amp; Past watchlists</x:v>
      </x:c>
      <x:c r="V49" s="60" t="str"/>
      <x:c r="W49" s="60" t="str">
        <x:v>Petrochemical feedstock-sensitive history</x:v>
      </x:c>
      <x:c r="X49" s="61" t="str"/>
    </x:row>
    <x:row r="50">
      <x:c r="A50" s="52" t="str">
        <x:v>Basic Materials</x:v>
      </x:c>
      <x:c r="B50" s="53" t="str">
        <x:v>commodity_chemicals</x:v>
      </x:c>
      <x:c r="C50" s="53" t="str">
        <x:v>SEH</x:v>
      </x:c>
      <x:c r="D50" s="53" t="str">
        <x:v>SEH-201303</x:v>
      </x:c>
      <x:c r="E50" s="53" t="n">
        <x:v>136224</x:v>
      </x:c>
      <x:c r="F50" s="53" t="str">
        <x:v>Spartech Corp</x:v>
      </x:c>
      <x:c r="G50" s="53" t="str">
        <x:v>Commodity Chemicals</x:v>
      </x:c>
      <x:c r="H50" s="53" t="str">
        <x:v>1990-01-02</x:v>
      </x:c>
      <x:c r="I50" s="53" t="str">
        <x:v>2013-03-12</x:v>
      </x:c>
      <x:c r="J50" s="53" t="str">
        <x:v>cash_and_stock_acquisition</x:v>
      </x:c>
      <x:c r="K50" s="53" t="str"/>
      <x:c r="L50" s="53" t="str">
        <x:v>PolyOne</x:v>
      </x:c>
      <x:c r="M50" s="53" t="str">
        <x:v>AVNT</x:v>
      </x:c>
      <x:c r="N50" s="65" t="n">
        <x:v>2</x:v>
      </x:c>
      <x:c r="O50" s="53" t="str">
        <x:v>candidate_unapproved</x:v>
      </x:c>
      <x:c r="P50" s="53" t="str">
        <x:v>pending_primary_source</x:v>
      </x:c>
      <x:c r="Q50" s="53" t="str">
        <x:v>pending_reconstruction</x:v>
      </x:c>
      <x:c r="R50" s="53" t="str">
        <x:v>pending_reconciliation</x:v>
      </x:c>
      <x:c r="S50" s="65" t="n">
        <x:v>0</x:v>
      </x:c>
      <x:c r="T50" s="65" t="n">
        <x:v>0</x:v>
      </x:c>
      <x:c r="U50" s="60" t="str">
        <x:v>Norgate US Equities Delisted and Current &amp; Past watchlists</x:v>
      </x:c>
      <x:c r="V50" s="60" t="str"/>
      <x:c r="W50" s="60" t="str">
        <x:v>Commodity and specialty polymer-sheet history with a successor chain</x:v>
      </x:c>
      <x:c r="X50" s="61" t="str"/>
    </x:row>
    <x:row r="51">
      <x:c r="A51" s="52" t="str">
        <x:v>Basic Materials</x:v>
      </x:c>
      <x:c r="B51" s="53" t="str">
        <x:v>commodity_chemicals</x:v>
      </x:c>
      <x:c r="C51" s="53" t="str">
        <x:v>TREC</x:v>
      </x:c>
      <x:c r="D51" s="53" t="str">
        <x:v>TREC-202206</x:v>
      </x:c>
      <x:c r="E51" s="53" t="n">
        <x:v>212733</x:v>
      </x:c>
      <x:c r="F51" s="53" t="str">
        <x:v>Trecora Resources LLC</x:v>
      </x:c>
      <x:c r="G51" s="53" t="str">
        <x:v>Commodity Chemicals</x:v>
      </x:c>
      <x:c r="H51" s="53" t="str">
        <x:v>1990-01-02</x:v>
      </x:c>
      <x:c r="I51" s="53" t="str">
        <x:v>2022-06-24</x:v>
      </x:c>
      <x:c r="J51" s="53" t="str">
        <x:v>cash_acquisition</x:v>
      </x:c>
      <x:c r="K51" s="53" t="str"/>
      <x:c r="L51" s="53" t="str">
        <x:v>Balmoral Funds</x:v>
      </x:c>
      <x:c r="M51" s="53" t="str"/>
      <x:c r="N51" s="65" t="n">
        <x:v>1</x:v>
      </x:c>
      <x:c r="O51" s="53" t="str">
        <x:v>candidate_unapproved</x:v>
      </x:c>
      <x:c r="P51" s="53" t="str">
        <x:v>pending_primary_source</x:v>
      </x:c>
      <x:c r="Q51" s="53" t="str">
        <x:v>pending_reconstruction</x:v>
      </x:c>
      <x:c r="R51" s="53" t="str">
        <x:v>pending_reconciliation</x:v>
      </x:c>
      <x:c r="S51" s="65" t="n">
        <x:v>0</x:v>
      </x:c>
      <x:c r="T51" s="65" t="n">
        <x:v>0</x:v>
      </x:c>
      <x:c r="U51" s="60" t="str">
        <x:v>Norgate US Equities Delisted and Current &amp; Past watchlists</x:v>
      </x:c>
      <x:c r="V51" s="60" t="str"/>
      <x:c r="W51" s="60" t="str">
        <x:v>Small-cap petrochemical analogue with margin volatility</x:v>
      </x:c>
      <x:c r="X51" s="61" t="str"/>
    </x:row>
    <x:row r="52">
      <x:c r="A52" s="52" t="str">
        <x:v>Basic Materials</x:v>
      </x:c>
      <x:c r="B52" s="53" t="str">
        <x:v>commodity_chemicals</x:v>
      </x:c>
      <x:c r="C52" s="53" t="str">
        <x:v>DTRX</x:v>
      </x:c>
      <x:c r="D52" s="53" t="str">
        <x:v>DTRX-201712</x:v>
      </x:c>
      <x:c r="E52" s="53" t="n">
        <x:v>139494</x:v>
      </x:c>
      <x:c r="F52" s="53" t="str">
        <x:v>Detrex Corp</x:v>
      </x:c>
      <x:c r="G52" s="53" t="str">
        <x:v>Commodity Chemicals</x:v>
      </x:c>
      <x:c r="H52" s="53" t="str">
        <x:v>1990-01-02</x:v>
      </x:c>
      <x:c r="I52" s="53" t="str">
        <x:v>2017-12-05</x:v>
      </x:c>
      <x:c r="J52" s="53" t="str">
        <x:v>cash_acquisition</x:v>
      </x:c>
      <x:c r="K52" s="53" t="str"/>
      <x:c r="L52" s="53" t="str">
        <x:v>Italmatch Chemicals</x:v>
      </x:c>
      <x:c r="M52" s="53" t="str"/>
      <x:c r="N52" s="65" t="n">
        <x:v>2</x:v>
      </x:c>
      <x:c r="O52" s="53" t="str">
        <x:v>candidate_unapproved</x:v>
      </x:c>
      <x:c r="P52" s="53" t="str">
        <x:v>pending_primary_source</x:v>
      </x:c>
      <x:c r="Q52" s="53" t="str">
        <x:v>pending_reconstruction</x:v>
      </x:c>
      <x:c r="R52" s="53" t="str">
        <x:v>pending_reconciliation</x:v>
      </x:c>
      <x:c r="S52" s="65" t="n">
        <x:v>0</x:v>
      </x:c>
      <x:c r="T52" s="65" t="n">
        <x:v>0</x:v>
      </x:c>
      <x:c r="U52" s="60" t="str">
        <x:v>Norgate US Equities Delisted and Current &amp; Past watchlists</x:v>
      </x:c>
      <x:c r="V52" s="60" t="str"/>
      <x:c r="W52" s="60" t="str">
        <x:v>Smaller specialty and commodity chemical history</x:v>
      </x:c>
      <x:c r="X52" s="61" t="str"/>
    </x:row>
    <x:row r="53">
      <x:c r="A53" s="52" t="str">
        <x:v>Basic Materials</x:v>
      </x:c>
      <x:c r="B53" s="53" t="str">
        <x:v>commodity_chemicals</x:v>
      </x:c>
      <x:c r="C53" s="53" t="str">
        <x:v>BIOA</x:v>
      </x:c>
      <x:c r="D53" s="53" t="str">
        <x:v>BIOAQ-201911</x:v>
      </x:c>
      <x:c r="E53" s="53" t="n">
        <x:v>780768</x:v>
      </x:c>
      <x:c r="F53" s="53" t="str">
        <x:v>BioAmber Inc</x:v>
      </x:c>
      <x:c r="G53" s="53" t="str">
        <x:v>Commodity Chemicals</x:v>
      </x:c>
      <x:c r="H53" s="53" t="str">
        <x:v>2013-05-10</x:v>
      </x:c>
      <x:c r="I53" s="53" t="str">
        <x:v>2019-11-21</x:v>
      </x:c>
      <x:c r="J53" s="53" t="str">
        <x:v>bankruptcy_liquidation</x:v>
      </x:c>
      <x:c r="K53" s="53" t="str">
        <x:v>2018-10-22</x:v>
      </x:c>
      <x:c r="L53" s="53" t="str">
        <x:v>LCY Biotechnology</x:v>
      </x:c>
      <x:c r="M53" s="53" t="str"/>
      <x:c r="N53" s="65" t="n">
        <x:v>1</x:v>
      </x:c>
      <x:c r="O53" s="53" t="str">
        <x:v>candidate_unapproved</x:v>
      </x:c>
      <x:c r="P53" s="53" t="str">
        <x:v>source_found_terminal_pending</x:v>
      </x:c>
      <x:c r="Q53" s="53" t="str">
        <x:v>pending_reconstruction</x:v>
      </x:c>
      <x:c r="R53" s="53" t="str">
        <x:v>pending_reconciliation</x:v>
      </x:c>
      <x:c r="S53" s="65" t="n">
        <x:v>0</x:v>
      </x:c>
      <x:c r="T53" s="65" t="n">
        <x:v>0</x:v>
      </x:c>
      <x:c r="U53" s="60" t="str">
        <x:v>Norgate US Equities Delisted and Current &amp; Past watchlists</x:v>
      </x:c>
      <x:c r="V53" s="60" t="str">
        <x:v>https://www.sec.gov/Archives/edgar/data/1534287/000119312518309191/d645901dex991.htm</x:v>
      </x:c>
      <x:c r="W53" s="60" t="str">
        <x:v>Left-tail bio-based chemical failure and liquidation case</x:v>
      </x:c>
      <x:c r="X53" s="61" t="str">
        <x:v>Historical listed ticker BIOA then OTC BIOAQ; asset sale is not automatically the old equity terminal value</x:v>
      </x:c>
    </x:row>
    <x:row r="54">
      <x:c r="A54" s="52" t="str">
        <x:v>Basic Materials</x:v>
      </x:c>
      <x:c r="B54" s="53" t="str">
        <x:v>commodity_chemicals</x:v>
      </x:c>
      <x:c r="C54" s="53" t="str">
        <x:v>CCC</x:v>
      </x:c>
      <x:c r="D54" s="53" t="str">
        <x:v>CCC-201803</x:v>
      </x:c>
      <x:c r="E54" s="53" t="n">
        <x:v>127809</x:v>
      </x:c>
      <x:c r="F54" s="53" t="str">
        <x:v>Calgon Carbon Corp</x:v>
      </x:c>
      <x:c r="G54" s="53" t="str">
        <x:v>Commodity Chemicals</x:v>
      </x:c>
      <x:c r="H54" s="53" t="str">
        <x:v>1990-01-02</x:v>
      </x:c>
      <x:c r="I54" s="53" t="str">
        <x:v>2018-03-08</x:v>
      </x:c>
      <x:c r="J54" s="53" t="str">
        <x:v>cash_acquisition</x:v>
      </x:c>
      <x:c r="K54" s="53" t="str"/>
      <x:c r="L54" s="53" t="str">
        <x:v>Kuraray</x:v>
      </x:c>
      <x:c r="M54" s="53" t="str"/>
      <x:c r="N54" s="65" t="n">
        <x:v>1</x:v>
      </x:c>
      <x:c r="O54" s="53" t="str">
        <x:v>candidate_unapproved</x:v>
      </x:c>
      <x:c r="P54" s="53" t="str">
        <x:v>pending_primary_source</x:v>
      </x:c>
      <x:c r="Q54" s="53" t="str">
        <x:v>pending_reconstruction</x:v>
      </x:c>
      <x:c r="R54" s="53" t="str">
        <x:v>pending_reconciliation</x:v>
      </x:c>
      <x:c r="S54" s="65" t="n">
        <x:v>0</x:v>
      </x:c>
      <x:c r="T54" s="65" t="n">
        <x:v>0</x:v>
      </x:c>
      <x:c r="U54" s="60" t="str">
        <x:v>Norgate US Equities Delisted and Current &amp; Past watchlists</x:v>
      </x:c>
      <x:c r="V54" s="60" t="str"/>
      <x:c r="W54" s="60" t="str">
        <x:v>Activated-carbon history provides differentiated commodity input exposure</x:v>
      </x:c>
      <x:c r="X54" s="61" t="str"/>
    </x:row>
    <x:row r="55">
      <x:c r="A55" s="52" t="str">
        <x:v>Basic Materials</x:v>
      </x:c>
      <x:c r="B55" s="53" t="str">
        <x:v>building_materials</x:v>
      </x:c>
      <x:c r="C55" s="53" t="str">
        <x:v>TXI</x:v>
      </x:c>
      <x:c r="D55" s="53" t="str">
        <x:v>TXI-201407</x:v>
      </x:c>
      <x:c r="E55" s="53" t="n">
        <x:v>147787</x:v>
      </x:c>
      <x:c r="F55" s="53" t="str">
        <x:v>Texas Industries Inc</x:v>
      </x:c>
      <x:c r="G55" s="53" t="str">
        <x:v>Construction Materials</x:v>
      </x:c>
      <x:c r="H55" s="53" t="str">
        <x:v>1990-01-02</x:v>
      </x:c>
      <x:c r="I55" s="53" t="str">
        <x:v>2014-07-01</x:v>
      </x:c>
      <x:c r="J55" s="53" t="str">
        <x:v>stock_acquisition</x:v>
      </x:c>
      <x:c r="K55" s="53" t="str"/>
      <x:c r="L55" s="53" t="str">
        <x:v>Martin Marietta Materials</x:v>
      </x:c>
      <x:c r="M55" s="53" t="str">
        <x:v>MLM</x:v>
      </x:c>
      <x:c r="N55" s="65" t="n">
        <x:v>1</x:v>
      </x:c>
      <x:c r="O55" s="53" t="str">
        <x:v>candidate_unapproved</x:v>
      </x:c>
      <x:c r="P55" s="53" t="str">
        <x:v>pending_primary_source</x:v>
      </x:c>
      <x:c r="Q55" s="53" t="str">
        <x:v>pending_reconstruction</x:v>
      </x:c>
      <x:c r="R55" s="53" t="str">
        <x:v>pending_reconciliation</x:v>
      </x:c>
      <x:c r="S55" s="65" t="n">
        <x:v>0</x:v>
      </x:c>
      <x:c r="T55" s="65" t="n">
        <x:v>0</x:v>
      </x:c>
      <x:c r="U55" s="60" t="str">
        <x:v>Norgate US Equities Delisted and Current &amp; Past watchlists</x:v>
      </x:c>
      <x:c r="V55" s="60" t="str"/>
      <x:c r="W55" s="60" t="str">
        <x:v>Cement and aggregates history with a direct current-cohort successor</x:v>
      </x:c>
      <x:c r="X55" s="61" t="str"/>
    </x:row>
    <x:row r="56">
      <x:c r="A56" s="52" t="str">
        <x:v>Basic Materials</x:v>
      </x:c>
      <x:c r="B56" s="53" t="str">
        <x:v>building_materials</x:v>
      </x:c>
      <x:c r="C56" s="53" t="str">
        <x:v>HW</x:v>
      </x:c>
      <x:c r="D56" s="53" t="str">
        <x:v>HW-201705</x:v>
      </x:c>
      <x:c r="E56" s="53" t="n">
        <x:v>135127</x:v>
      </x:c>
      <x:c r="F56" s="53" t="str">
        <x:v>Headwaters Inc</x:v>
      </x:c>
      <x:c r="G56" s="53" t="str">
        <x:v>Construction Materials</x:v>
      </x:c>
      <x:c r="H56" s="53" t="str">
        <x:v>1996-05-30</x:v>
      </x:c>
      <x:c r="I56" s="53" t="str">
        <x:v>2017-05-05</x:v>
      </x:c>
      <x:c r="J56" s="53" t="str">
        <x:v>cash_acquisition</x:v>
      </x:c>
      <x:c r="K56" s="53" t="str"/>
      <x:c r="L56" s="53" t="str">
        <x:v>Boral Limited</x:v>
      </x:c>
      <x:c r="M56" s="53" t="str"/>
      <x:c r="N56" s="65" t="n">
        <x:v>1</x:v>
      </x:c>
      <x:c r="O56" s="53" t="str">
        <x:v>candidate_unapproved</x:v>
      </x:c>
      <x:c r="P56" s="53" t="str">
        <x:v>pending_primary_source</x:v>
      </x:c>
      <x:c r="Q56" s="53" t="str">
        <x:v>pending_reconstruction</x:v>
      </x:c>
      <x:c r="R56" s="53" t="str">
        <x:v>pending_reconciliation</x:v>
      </x:c>
      <x:c r="S56" s="65" t="n">
        <x:v>0</x:v>
      </x:c>
      <x:c r="T56" s="65" t="n">
        <x:v>0</x:v>
      </x:c>
      <x:c r="U56" s="60" t="str">
        <x:v>Norgate US Equities Delisted and Current &amp; Past watchlists</x:v>
      </x:c>
      <x:c r="V56" s="60" t="str"/>
      <x:c r="W56" s="60" t="str">
        <x:v>Construction products and fly-ash history across housing cycles</x:v>
      </x:c>
      <x:c r="X56" s="61" t="str"/>
    </x:row>
    <x:row r="57">
      <x:c r="A57" s="52" t="str">
        <x:v>Basic Materials</x:v>
      </x:c>
      <x:c r="B57" s="53" t="str">
        <x:v>building_materials</x:v>
      </x:c>
      <x:c r="C57" s="53" t="str">
        <x:v>FRTA</x:v>
      </x:c>
      <x:c r="D57" s="53" t="str">
        <x:v>FRTA-202203</x:v>
      </x:c>
      <x:c r="E57" s="53" t="n">
        <x:v>2215021</x:v>
      </x:c>
      <x:c r="F57" s="53" t="str">
        <x:v>Forterra Inc</x:v>
      </x:c>
      <x:c r="G57" s="53" t="str">
        <x:v>Construction Materials</x:v>
      </x:c>
      <x:c r="H57" s="53" t="str">
        <x:v>2016-10-20</x:v>
      </x:c>
      <x:c r="I57" s="53" t="str">
        <x:v>2022-03-17</x:v>
      </x:c>
      <x:c r="J57" s="53" t="str">
        <x:v>cash_acquisition</x:v>
      </x:c>
      <x:c r="K57" s="53" t="str"/>
      <x:c r="L57" s="53" t="str">
        <x:v>Quikrete Holdings</x:v>
      </x:c>
      <x:c r="M57" s="53" t="str"/>
      <x:c r="N57" s="65" t="n">
        <x:v>1</x:v>
      </x:c>
      <x:c r="O57" s="53" t="str">
        <x:v>candidate_unapproved</x:v>
      </x:c>
      <x:c r="P57" s="53" t="str">
        <x:v>pending_primary_source</x:v>
      </x:c>
      <x:c r="Q57" s="53" t="str">
        <x:v>pending_reconstruction</x:v>
      </x:c>
      <x:c r="R57" s="53" t="str">
        <x:v>pending_reconciliation</x:v>
      </x:c>
      <x:c r="S57" s="65" t="n">
        <x:v>0</x:v>
      </x:c>
      <x:c r="T57" s="65" t="n">
        <x:v>0</x:v>
      </x:c>
      <x:c r="U57" s="60" t="str">
        <x:v>Norgate US Equities Delisted and Current &amp; Past watchlists</x:v>
      </x:c>
      <x:c r="V57" s="60" t="str"/>
      <x:c r="W57" s="60" t="str">
        <x:v>Drainage pipe and precast-products analogue with infrastructure exposure</x:v>
      </x:c>
      <x:c r="X57" s="61" t="str"/>
    </x:row>
    <x:row r="58">
      <x:c r="A58" s="52" t="str">
        <x:v>Basic Materials</x:v>
      </x:c>
      <x:c r="B58" s="53" t="str">
        <x:v>building_materials</x:v>
      </x:c>
      <x:c r="C58" s="53" t="str">
        <x:v>USCR</x:v>
      </x:c>
      <x:c r="D58" s="53" t="str">
        <x:v>USCR-202108</x:v>
      </x:c>
      <x:c r="E58" s="53" t="n">
        <x:v>521035</x:v>
      </x:c>
      <x:c r="F58" s="53" t="str">
        <x:v>US Concrete Inc</x:v>
      </x:c>
      <x:c r="G58" s="53" t="str">
        <x:v>Construction Materials</x:v>
      </x:c>
      <x:c r="H58" s="53" t="str">
        <x:v>2010-10-15</x:v>
      </x:c>
      <x:c r="I58" s="53" t="str">
        <x:v>2021-08-25</x:v>
      </x:c>
      <x:c r="J58" s="53" t="str">
        <x:v>cash_acquisition</x:v>
      </x:c>
      <x:c r="K58" s="53" t="str"/>
      <x:c r="L58" s="53" t="str">
        <x:v>Vulcan Materials</x:v>
      </x:c>
      <x:c r="M58" s="53" t="str">
        <x:v>VMC</x:v>
      </x:c>
      <x:c r="N58" s="65" t="n">
        <x:v>1</x:v>
      </x:c>
      <x:c r="O58" s="53" t="str">
        <x:v>candidate_unapproved</x:v>
      </x:c>
      <x:c r="P58" s="53" t="str">
        <x:v>pending_primary_source</x:v>
      </x:c>
      <x:c r="Q58" s="53" t="str">
        <x:v>pending_reconstruction</x:v>
      </x:c>
      <x:c r="R58" s="53" t="str">
        <x:v>pending_reconciliation</x:v>
      </x:c>
      <x:c r="S58" s="65" t="n">
        <x:v>0</x:v>
      </x:c>
      <x:c r="T58" s="65" t="n">
        <x:v>0</x:v>
      </x:c>
      <x:c r="U58" s="60" t="str">
        <x:v>Norgate US Equities Delisted and Current &amp; Past watchlists</x:v>
      </x:c>
      <x:c r="V58" s="60" t="str"/>
      <x:c r="W58" s="60" t="str">
        <x:v>Ready-mix and aggregates history with a current-cohort acquirer</x:v>
      </x:c>
      <x:c r="X58" s="61" t="str"/>
    </x:row>
    <x:row r="59">
      <x:c r="A59" s="52" t="str">
        <x:v>Basic Materials</x:v>
      </x:c>
      <x:c r="B59" s="53" t="str">
        <x:v>building_materials</x:v>
      </x:c>
      <x:c r="C59" s="53" t="str">
        <x:v>SUM</x:v>
      </x:c>
      <x:c r="D59" s="53" t="str">
        <x:v>SUM-202502</x:v>
      </x:c>
      <x:c r="E59" s="53" t="n">
        <x:v>2005949</x:v>
      </x:c>
      <x:c r="F59" s="53" t="str">
        <x:v>Summit Materials Inc</x:v>
      </x:c>
      <x:c r="G59" s="53" t="str">
        <x:v>Construction Materials</x:v>
      </x:c>
      <x:c r="H59" s="53" t="str">
        <x:v>2015-03-12</x:v>
      </x:c>
      <x:c r="I59" s="53" t="str">
        <x:v>2025-02-10</x:v>
      </x:c>
      <x:c r="J59" s="53" t="str">
        <x:v>cash_acquisition</x:v>
      </x:c>
      <x:c r="K59" s="53" t="str"/>
      <x:c r="L59" s="53" t="str">
        <x:v>Quikrete Holdings</x:v>
      </x:c>
      <x:c r="M59" s="53" t="str"/>
      <x:c r="N59" s="65" t="n">
        <x:v>1</x:v>
      </x:c>
      <x:c r="O59" s="53" t="str">
        <x:v>candidate_unapproved</x:v>
      </x:c>
      <x:c r="P59" s="53" t="str">
        <x:v>pending_primary_source</x:v>
      </x:c>
      <x:c r="Q59" s="53" t="str">
        <x:v>pending_reconstruction</x:v>
      </x:c>
      <x:c r="R59" s="53" t="str">
        <x:v>pending_reconciliation</x:v>
      </x:c>
      <x:c r="S59" s="65" t="n">
        <x:v>0</x:v>
      </x:c>
      <x:c r="T59" s="65" t="n">
        <x:v>0</x:v>
      </x:c>
      <x:c r="U59" s="60" t="str">
        <x:v>Norgate US Equities Delisted and Current &amp; Past watchlists</x:v>
      </x:c>
      <x:c r="V59" s="60" t="str"/>
      <x:c r="W59" s="60" t="str">
        <x:v>Recent aggregates and cement exit with broad U.S. operating exposure</x:v>
      </x:c>
      <x:c r="X59" s="61" t="str"/>
    </x:row>
    <x:row r="60">
      <x:c r="A60" s="52" t="str">
        <x:v>Basic Materials</x:v>
      </x:c>
      <x:c r="B60" s="53" t="str">
        <x:v>building_materials</x:v>
      </x:c>
      <x:c r="C60" s="53" t="str">
        <x:v>GCP</x:v>
      </x:c>
      <x:c r="D60" s="53" t="str">
        <x:v>GCP-202209</x:v>
      </x:c>
      <x:c r="E60" s="53" t="n">
        <x:v>2131939</x:v>
      </x:c>
      <x:c r="F60" s="53" t="str">
        <x:v>GCP Applied Technologies Inc</x:v>
      </x:c>
      <x:c r="G60" s="53" t="str">
        <x:v>Specialty Chemicals</x:v>
      </x:c>
      <x:c r="H60" s="53" t="str">
        <x:v>2016-01-26</x:v>
      </x:c>
      <x:c r="I60" s="53" t="str">
        <x:v>2022-09-26</x:v>
      </x:c>
      <x:c r="J60" s="53" t="str">
        <x:v>cash_acquisition</x:v>
      </x:c>
      <x:c r="K60" s="53" t="str"/>
      <x:c r="L60" s="53" t="str">
        <x:v>Saint-Gobain</x:v>
      </x:c>
      <x:c r="M60" s="53" t="str"/>
      <x:c r="N60" s="65" t="n">
        <x:v>1</x:v>
      </x:c>
      <x:c r="O60" s="53" t="str">
        <x:v>candidate_unapproved</x:v>
      </x:c>
      <x:c r="P60" s="53" t="str">
        <x:v>pending_primary_source</x:v>
      </x:c>
      <x:c r="Q60" s="53" t="str">
        <x:v>pending_reconstruction</x:v>
      </x:c>
      <x:c r="R60" s="53" t="str">
        <x:v>pending_reconciliation</x:v>
      </x:c>
      <x:c r="S60" s="65" t="n">
        <x:v>0</x:v>
      </x:c>
      <x:c r="T60" s="65" t="n">
        <x:v>0</x:v>
      </x:c>
      <x:c r="U60" s="60" t="str">
        <x:v>Norgate US Equities Delisted and Current &amp; Past watchlists</x:v>
      </x:c>
      <x:c r="V60" s="60" t="str"/>
      <x:c r="W60" s="60" t="str">
        <x:v>Construction chemicals and admixtures fit the economic building-materials cohort</x:v>
      </x:c>
      <x:c r="X60" s="61" t="str">
        <x:v>Cohort assignment intentionally differs from provider GICS industry</x:v>
      </x:c>
    </x:row>
    <x:row r="61">
      <x:c r="A61" s="52" t="str">
        <x:v>Basic Materials</x:v>
      </x:c>
      <x:c r="B61" s="53" t="str">
        <x:v>building_materials</x:v>
      </x:c>
      <x:c r="C61" s="53" t="str">
        <x:v>USG</x:v>
      </x:c>
      <x:c r="D61" s="53" t="str">
        <x:v>USG-201904</x:v>
      </x:c>
      <x:c r="E61" s="53" t="n">
        <x:v>135291</x:v>
      </x:c>
      <x:c r="F61" s="53" t="str">
        <x:v>USG Corp</x:v>
      </x:c>
      <x:c r="G61" s="53" t="str">
        <x:v>Building Products</x:v>
      </x:c>
      <x:c r="H61" s="53" t="str">
        <x:v>1990-01-02</x:v>
      </x:c>
      <x:c r="I61" s="53" t="str">
        <x:v>2019-04-23</x:v>
      </x:c>
      <x:c r="J61" s="53" t="str">
        <x:v>cash_acquisition</x:v>
      </x:c>
      <x:c r="K61" s="53" t="str"/>
      <x:c r="L61" s="53" t="str">
        <x:v>Gebr Knauf KG</x:v>
      </x:c>
      <x:c r="M61" s="53" t="str"/>
      <x:c r="N61" s="65" t="n">
        <x:v>1</x:v>
      </x:c>
      <x:c r="O61" s="53" t="str">
        <x:v>candidate_unapproved</x:v>
      </x:c>
      <x:c r="P61" s="53" t="str">
        <x:v>pending_primary_source</x:v>
      </x:c>
      <x:c r="Q61" s="53" t="str">
        <x:v>pending_reconstruction</x:v>
      </x:c>
      <x:c r="R61" s="53" t="str">
        <x:v>pending_reconciliation</x:v>
      </x:c>
      <x:c r="S61" s="65" t="n">
        <x:v>0</x:v>
      </x:c>
      <x:c r="T61" s="65" t="n">
        <x:v>0</x:v>
      </x:c>
      <x:c r="U61" s="60" t="str">
        <x:v>Norgate US Equities Delisted and Current &amp; Past watchlists</x:v>
      </x:c>
      <x:c r="V61" s="60" t="str"/>
      <x:c r="W61" s="60" t="str">
        <x:v>Wallboard and ceilings history captures housing and nonresidential cycles</x:v>
      </x:c>
      <x:c r="X61" s="61" t="str"/>
    </x:row>
    <x:row r="62">
      <x:c r="A62" s="52" t="str">
        <x:v>Basic Materials</x:v>
      </x:c>
      <x:c r="B62" s="53" t="str">
        <x:v>building_materials</x:v>
      </x:c>
      <x:c r="C62" s="53" t="str">
        <x:v>CBPX</x:v>
      </x:c>
      <x:c r="D62" s="53" t="str">
        <x:v>CBPX-202001</x:v>
      </x:c>
      <x:c r="E62" s="53" t="n">
        <x:v>933161</x:v>
      </x:c>
      <x:c r="F62" s="53" t="str">
        <x:v>Continental Building Products Inc</x:v>
      </x:c>
      <x:c r="G62" s="53" t="str">
        <x:v>Building Products</x:v>
      </x:c>
      <x:c r="H62" s="53" t="str">
        <x:v>2014-02-05</x:v>
      </x:c>
      <x:c r="I62" s="53" t="str">
        <x:v>2020-01-31</x:v>
      </x:c>
      <x:c r="J62" s="53" t="str">
        <x:v>cash_acquisition</x:v>
      </x:c>
      <x:c r="K62" s="53" t="str"/>
      <x:c r="L62" s="53" t="str">
        <x:v>Saint-Gobain</x:v>
      </x:c>
      <x:c r="M62" s="53" t="str"/>
      <x:c r="N62" s="65" t="n">
        <x:v>2</x:v>
      </x:c>
      <x:c r="O62" s="53" t="str">
        <x:v>candidate_unapproved</x:v>
      </x:c>
      <x:c r="P62" s="53" t="str">
        <x:v>pending_primary_source</x:v>
      </x:c>
      <x:c r="Q62" s="53" t="str">
        <x:v>pending_reconstruction</x:v>
      </x:c>
      <x:c r="R62" s="53" t="str">
        <x:v>pending_reconciliation</x:v>
      </x:c>
      <x:c r="S62" s="65" t="n">
        <x:v>0</x:v>
      </x:c>
      <x:c r="T62" s="65" t="n">
        <x:v>0</x:v>
      </x:c>
      <x:c r="U62" s="60" t="str">
        <x:v>Norgate US Equities Delisted and Current &amp; Past watchlists</x:v>
      </x:c>
      <x:c r="V62" s="60" t="str"/>
      <x:c r="W62" s="60" t="str">
        <x:v>Pure-play gypsum wallboard analogue</x:v>
      </x:c>
      <x:c r="X62" s="61" t="str"/>
    </x:row>
    <x:row r="63">
      <x:c r="A63" s="52" t="str">
        <x:v>Basic Materials</x:v>
      </x:c>
      <x:c r="B63" s="53" t="str">
        <x:v>building_materials</x:v>
      </x:c>
      <x:c r="C63" s="53" t="str">
        <x:v>CNR</x:v>
      </x:c>
      <x:c r="D63" s="53" t="str">
        <x:v>CNR-202207</x:v>
      </x:c>
      <x:c r="E63" s="53" t="n">
        <x:v>125418</x:v>
      </x:c>
      <x:c r="F63" s="53" t="str">
        <x:v>Cornerstone Building Brands Inc</x:v>
      </x:c>
      <x:c r="G63" s="53" t="str">
        <x:v>Building Products</x:v>
      </x:c>
      <x:c r="H63" s="53" t="str">
        <x:v>1992-04-03</x:v>
      </x:c>
      <x:c r="I63" s="53" t="str">
        <x:v>2022-07-22</x:v>
      </x:c>
      <x:c r="J63" s="53" t="str">
        <x:v>cash_acquisition</x:v>
      </x:c>
      <x:c r="K63" s="53" t="str"/>
      <x:c r="L63" s="53" t="str">
        <x:v>Clayton Dubilier &amp; Rice</x:v>
      </x:c>
      <x:c r="M63" s="53" t="str"/>
      <x:c r="N63" s="65" t="n">
        <x:v>2</x:v>
      </x:c>
      <x:c r="O63" s="53" t="str">
        <x:v>candidate_unapproved</x:v>
      </x:c>
      <x:c r="P63" s="53" t="str">
        <x:v>pending_primary_source</x:v>
      </x:c>
      <x:c r="Q63" s="53" t="str">
        <x:v>pending_reconstruction</x:v>
      </x:c>
      <x:c r="R63" s="53" t="str">
        <x:v>pending_reconciliation</x:v>
      </x:c>
      <x:c r="S63" s="65" t="n">
        <x:v>0</x:v>
      </x:c>
      <x:c r="T63" s="65" t="n">
        <x:v>0</x:v>
      </x:c>
      <x:c r="U63" s="60" t="str">
        <x:v>Norgate US Equities Delisted and Current &amp; Past watchlists</x:v>
      </x:c>
      <x:c r="V63" s="60" t="str"/>
      <x:c r="W63" s="60" t="str">
        <x:v>Building-envelope products add repair and remodel exposure</x:v>
      </x:c>
      <x:c r="X63" s="61" t="str">
        <x:v>CNR is ticker-reused; provider asset ID and suffix are mandatory</x:v>
      </x:c>
    </x:row>
    <x:row r="64">
      <x:c r="A64" s="52" t="str">
        <x:v>Basic Materials</x:v>
      </x:c>
      <x:c r="B64" s="53" t="str">
        <x:v>building_materials</x:v>
      </x:c>
      <x:c r="C64" s="53" t="str">
        <x:v>DOOR</x:v>
      </x:c>
      <x:c r="D64" s="53" t="str">
        <x:v>DOOR-202405</x:v>
      </x:c>
      <x:c r="E64" s="53" t="n">
        <x:v>546119</x:v>
      </x:c>
      <x:c r="F64" s="53" t="str">
        <x:v>Masonite International Corp</x:v>
      </x:c>
      <x:c r="G64" s="53" t="str">
        <x:v>Building Products</x:v>
      </x:c>
      <x:c r="H64" s="53" t="str">
        <x:v>2009-07-24</x:v>
      </x:c>
      <x:c r="I64" s="53" t="str">
        <x:v>2024-05-14</x:v>
      </x:c>
      <x:c r="J64" s="53" t="str">
        <x:v>cash_acquisition</x:v>
      </x:c>
      <x:c r="K64" s="53" t="str"/>
      <x:c r="L64" s="53" t="str">
        <x:v>Owens Corning</x:v>
      </x:c>
      <x:c r="M64" s="53" t="str">
        <x:v>OC</x:v>
      </x:c>
      <x:c r="N64" s="65" t="n">
        <x:v>1</x:v>
      </x:c>
      <x:c r="O64" s="53" t="str">
        <x:v>candidate_unapproved</x:v>
      </x:c>
      <x:c r="P64" s="53" t="str">
        <x:v>pending_primary_source</x:v>
      </x:c>
      <x:c r="Q64" s="53" t="str">
        <x:v>pending_reconstruction</x:v>
      </x:c>
      <x:c r="R64" s="53" t="str">
        <x:v>pending_reconciliation</x:v>
      </x:c>
      <x:c r="S64" s="65" t="n">
        <x:v>0</x:v>
      </x:c>
      <x:c r="T64" s="65" t="n">
        <x:v>0</x:v>
      </x:c>
      <x:c r="U64" s="60" t="str">
        <x:v>Norgate US Equities Delisted and Current &amp; Past watchlists</x:v>
      </x:c>
      <x:c r="V64" s="60" t="str"/>
      <x:c r="W64" s="60" t="str">
        <x:v>Recent doors and building-products exit with a listed successor</x:v>
      </x:c>
      <x:c r="X64" s="61" t="str"/>
    </x:row>
    <x:row r="65">
      <x:c r="A65" s="52" t="str">
        <x:v>Basic Materials</x:v>
      </x:c>
      <x:c r="B65" s="53" t="str">
        <x:v>agricultural_inputs_crop_science</x:v>
      </x:c>
      <x:c r="C65" s="53" t="str">
        <x:v>MON</x:v>
      </x:c>
      <x:c r="D65" s="53" t="str">
        <x:v>MON-201806</x:v>
      </x:c>
      <x:c r="E65" s="53" t="n">
        <x:v>140727</x:v>
      </x:c>
      <x:c r="F65" s="53" t="str">
        <x:v>Monsanto Co</x:v>
      </x:c>
      <x:c r="G65" s="53" t="str">
        <x:v>Fertilizers &amp; Agricultural Chemicals</x:v>
      </x:c>
      <x:c r="H65" s="53" t="str">
        <x:v>2000-10-18</x:v>
      </x:c>
      <x:c r="I65" s="53" t="str">
        <x:v>2018-06-06</x:v>
      </x:c>
      <x:c r="J65" s="53" t="str">
        <x:v>cash_acquisition</x:v>
      </x:c>
      <x:c r="K65" s="53" t="str"/>
      <x:c r="L65" s="53" t="str">
        <x:v>Bayer AG</x:v>
      </x:c>
      <x:c r="M65" s="53" t="str"/>
      <x:c r="N65" s="65" t="n">
        <x:v>1</x:v>
      </x:c>
      <x:c r="O65" s="53" t="str">
        <x:v>candidate_unapproved</x:v>
      </x:c>
      <x:c r="P65" s="53" t="str">
        <x:v>pending_primary_source</x:v>
      </x:c>
      <x:c r="Q65" s="53" t="str">
        <x:v>pending_reconstruction</x:v>
      </x:c>
      <x:c r="R65" s="53" t="str">
        <x:v>pending_reconciliation</x:v>
      </x:c>
      <x:c r="S65" s="65" t="n">
        <x:v>0</x:v>
      </x:c>
      <x:c r="T65" s="65" t="n">
        <x:v>0</x:v>
      </x:c>
      <x:c r="U65" s="60" t="str">
        <x:v>Norgate US Equities Delisted and Current &amp; Past watchlists</x:v>
      </x:c>
      <x:c r="V65" s="60" t="str"/>
      <x:c r="W65" s="60" t="str">
        <x:v>Core crop-science and seed analogue with a long public history</x:v>
      </x:c>
      <x:c r="X65" s="61" t="str"/>
    </x:row>
    <x:row r="66">
      <x:c r="A66" s="52" t="str">
        <x:v>Basic Materials</x:v>
      </x:c>
      <x:c r="B66" s="53" t="str">
        <x:v>agricultural_inputs_crop_science</x:v>
      </x:c>
      <x:c r="C66" s="53" t="str">
        <x:v>POT</x:v>
      </x:c>
      <x:c r="D66" s="53" t="str">
        <x:v>POT-201712</x:v>
      </x:c>
      <x:c r="E66" s="53" t="n">
        <x:v>147210</x:v>
      </x:c>
      <x:c r="F66" s="53" t="str">
        <x:v>Potash Corporation of Saskatchewan Inc</x:v>
      </x:c>
      <x:c r="G66" s="53" t="str">
        <x:v>Fertilizers &amp; Agricultural Chemicals</x:v>
      </x:c>
      <x:c r="H66" s="53" t="str">
        <x:v>1990-01-02</x:v>
      </x:c>
      <x:c r="I66" s="53" t="str">
        <x:v>2017-12-29</x:v>
      </x:c>
      <x:c r="J66" s="53" t="str">
        <x:v>stock_merger</x:v>
      </x:c>
      <x:c r="K66" s="53" t="str"/>
      <x:c r="L66" s="53" t="str">
        <x:v>Agrium</x:v>
      </x:c>
      <x:c r="M66" s="53" t="str">
        <x:v>NTR</x:v>
      </x:c>
      <x:c r="N66" s="65" t="n">
        <x:v>1</x:v>
      </x:c>
      <x:c r="O66" s="53" t="str">
        <x:v>candidate_unapproved</x:v>
      </x:c>
      <x:c r="P66" s="53" t="str">
        <x:v>pending_primary_source</x:v>
      </x:c>
      <x:c r="Q66" s="53" t="str">
        <x:v>pending_reconstruction</x:v>
      </x:c>
      <x:c r="R66" s="53" t="str">
        <x:v>pending_reconciliation</x:v>
      </x:c>
      <x:c r="S66" s="65" t="n">
        <x:v>0</x:v>
      </x:c>
      <x:c r="T66" s="65" t="n">
        <x:v>0</x:v>
      </x:c>
      <x:c r="U66" s="60" t="str">
        <x:v>Norgate US Equities Delisted and Current &amp; Past watchlists</x:v>
      </x:c>
      <x:c r="V66" s="60" t="str"/>
      <x:c r="W66" s="60" t="str">
        <x:v>Long potash-cycle history and direct predecessor to Nutrien</x:v>
      </x:c>
      <x:c r="X66" s="61" t="str"/>
    </x:row>
    <x:row r="67">
      <x:c r="A67" s="52" t="str">
        <x:v>Basic Materials</x:v>
      </x:c>
      <x:c r="B67" s="53" t="str">
        <x:v>agricultural_inputs_crop_science</x:v>
      </x:c>
      <x:c r="C67" s="53" t="str">
        <x:v>AGU</x:v>
      </x:c>
      <x:c r="D67" s="53" t="str">
        <x:v>AGU-201712</x:v>
      </x:c>
      <x:c r="E67" s="53" t="n">
        <x:v>141024</x:v>
      </x:c>
      <x:c r="F67" s="53" t="str">
        <x:v>Agrium Inc</x:v>
      </x:c>
      <x:c r="G67" s="53" t="str">
        <x:v>Fertilizers &amp; Agricultural Chemicals</x:v>
      </x:c>
      <x:c r="H67" s="53" t="str">
        <x:v>1995-05-05</x:v>
      </x:c>
      <x:c r="I67" s="53" t="str">
        <x:v>2017-12-29</x:v>
      </x:c>
      <x:c r="J67" s="53" t="str">
        <x:v>stock_merger</x:v>
      </x:c>
      <x:c r="K67" s="53" t="str"/>
      <x:c r="L67" s="53" t="str">
        <x:v>PotashCorp</x:v>
      </x:c>
      <x:c r="M67" s="53" t="str">
        <x:v>NTR</x:v>
      </x:c>
      <x:c r="N67" s="65" t="n">
        <x:v>1</x:v>
      </x:c>
      <x:c r="O67" s="53" t="str">
        <x:v>candidate_unapproved</x:v>
      </x:c>
      <x:c r="P67" s="53" t="str">
        <x:v>pending_primary_source</x:v>
      </x:c>
      <x:c r="Q67" s="53" t="str">
        <x:v>pending_reconstruction</x:v>
      </x:c>
      <x:c r="R67" s="53" t="str">
        <x:v>pending_reconciliation</x:v>
      </x:c>
      <x:c r="S67" s="65" t="n">
        <x:v>0</x:v>
      </x:c>
      <x:c r="T67" s="65" t="n">
        <x:v>0</x:v>
      </x:c>
      <x:c r="U67" s="60" t="str">
        <x:v>Norgate US Equities Delisted and Current &amp; Past watchlists</x:v>
      </x:c>
      <x:c r="V67" s="60" t="str"/>
      <x:c r="W67" s="60" t="str">
        <x:v>Fertilizer production and retail history and direct predecessor to Nutrien</x:v>
      </x:c>
      <x:c r="X67" s="61" t="str"/>
    </x:row>
    <x:row r="68">
      <x:c r="A68" s="52" t="str">
        <x:v>Basic Materials</x:v>
      </x:c>
      <x:c r="B68" s="53" t="str">
        <x:v>agricultural_inputs_crop_science</x:v>
      </x:c>
      <x:c r="C68" s="53" t="str">
        <x:v>TRA</x:v>
      </x:c>
      <x:c r="D68" s="53" t="str">
        <x:v>TRA-201004</x:v>
      </x:c>
      <x:c r="E68" s="53" t="n">
        <x:v>140527</x:v>
      </x:c>
      <x:c r="F68" s="53" t="str">
        <x:v>Terra Industries Inc</x:v>
      </x:c>
      <x:c r="G68" s="53" t="str">
        <x:v>Fertilizers &amp; Agricultural Chemicals</x:v>
      </x:c>
      <x:c r="H68" s="53" t="str">
        <x:v>1990-01-02</x:v>
      </x:c>
      <x:c r="I68" s="53" t="str">
        <x:v>2010-04-15</x:v>
      </x:c>
      <x:c r="J68" s="53" t="str">
        <x:v>cash_and_stock_acquisition</x:v>
      </x:c>
      <x:c r="K68" s="53" t="str"/>
      <x:c r="L68" s="53" t="str">
        <x:v>CF Industries</x:v>
      </x:c>
      <x:c r="M68" s="53" t="str">
        <x:v>CF</x:v>
      </x:c>
      <x:c r="N68" s="65" t="n">
        <x:v>1</x:v>
      </x:c>
      <x:c r="O68" s="53" t="str">
        <x:v>candidate_unapproved</x:v>
      </x:c>
      <x:c r="P68" s="53" t="str">
        <x:v>pending_primary_source</x:v>
      </x:c>
      <x:c r="Q68" s="53" t="str">
        <x:v>pending_reconstruction</x:v>
      </x:c>
      <x:c r="R68" s="53" t="str">
        <x:v>pending_reconciliation</x:v>
      </x:c>
      <x:c r="S68" s="65" t="n">
        <x:v>0</x:v>
      </x:c>
      <x:c r="T68" s="65" t="n">
        <x:v>0</x:v>
      </x:c>
      <x:c r="U68" s="60" t="str">
        <x:v>Norgate US Equities Delisted and Current &amp; Past watchlists</x:v>
      </x:c>
      <x:c r="V68" s="60" t="str"/>
      <x:c r="W68" s="60" t="str">
        <x:v>Earlier nitrogen-cycle history and direct current-cohort successor</x:v>
      </x:c>
      <x:c r="X68" s="61" t="str"/>
    </x:row>
    <x:row r="69">
      <x:c r="A69" s="52" t="str">
        <x:v>Basic Materials</x:v>
      </x:c>
      <x:c r="B69" s="53" t="str">
        <x:v>agricultural_inputs_crop_science</x:v>
      </x:c>
      <x:c r="C69" s="53" t="str">
        <x:v>TNH</x:v>
      </x:c>
      <x:c r="D69" s="53" t="str">
        <x:v>TNH-201803</x:v>
      </x:c>
      <x:c r="E69" s="53" t="n">
        <x:v>136903</x:v>
      </x:c>
      <x:c r="F69" s="53" t="str">
        <x:v>Terra Nitrogen Company LP</x:v>
      </x:c>
      <x:c r="G69" s="53" t="str">
        <x:v>Fertilizers &amp; Agricultural Chemicals</x:v>
      </x:c>
      <x:c r="H69" s="53" t="str">
        <x:v>1991-11-26</x:v>
      </x:c>
      <x:c r="I69" s="53" t="str">
        <x:v>2018-03-29</x:v>
      </x:c>
      <x:c r="J69" s="53" t="str">
        <x:v>cash_acquisition</x:v>
      </x:c>
      <x:c r="K69" s="53" t="str"/>
      <x:c r="L69" s="53" t="str">
        <x:v>CF Industries</x:v>
      </x:c>
      <x:c r="M69" s="53" t="str">
        <x:v>CF</x:v>
      </x:c>
      <x:c r="N69" s="65" t="n">
        <x:v>1</x:v>
      </x:c>
      <x:c r="O69" s="53" t="str">
        <x:v>candidate_unapproved</x:v>
      </x:c>
      <x:c r="P69" s="53" t="str">
        <x:v>pending_primary_source</x:v>
      </x:c>
      <x:c r="Q69" s="53" t="str">
        <x:v>pending_reconstruction</x:v>
      </x:c>
      <x:c r="R69" s="53" t="str">
        <x:v>pending_reconciliation</x:v>
      </x:c>
      <x:c r="S69" s="65" t="n">
        <x:v>0</x:v>
      </x:c>
      <x:c r="T69" s="65" t="n">
        <x:v>0</x:v>
      </x:c>
      <x:c r="U69" s="60" t="str">
        <x:v>Norgate US Equities Delisted and Current &amp; Past watchlists</x:v>
      </x:c>
      <x:c r="V69" s="60" t="str"/>
      <x:c r="W69" s="60" t="str">
        <x:v>Long nitrogen economics history and partnership-distribution case</x:v>
      </x:c>
      <x:c r="X69" s="61" t="str">
        <x:v>Partnership structure requires separate payout and tax-treatment review</x:v>
      </x:c>
    </x:row>
    <x:row r="70">
      <x:c r="A70" s="52" t="str">
        <x:v>Basic Materials</x:v>
      </x:c>
      <x:c r="B70" s="53" t="str">
        <x:v>agricultural_inputs_crop_science</x:v>
      </x:c>
      <x:c r="C70" s="53" t="str">
        <x:v>RNF</x:v>
      </x:c>
      <x:c r="D70" s="53" t="str">
        <x:v>RNF-201603</x:v>
      </x:c>
      <x:c r="E70" s="53" t="n">
        <x:v>585822</x:v>
      </x:c>
      <x:c r="F70" s="53" t="str">
        <x:v>Rentech Nitrogen Partners LP</x:v>
      </x:c>
      <x:c r="G70" s="53" t="str">
        <x:v>Fertilizers &amp; Agricultural Chemicals</x:v>
      </x:c>
      <x:c r="H70" s="53" t="str">
        <x:v>2011-11-04</x:v>
      </x:c>
      <x:c r="I70" s="53" t="str">
        <x:v>2016-03-31</x:v>
      </x:c>
      <x:c r="J70" s="53" t="str">
        <x:v>cash_and_unit_acquisition</x:v>
      </x:c>
      <x:c r="K70" s="53" t="str"/>
      <x:c r="L70" s="53" t="str">
        <x:v>CVR Partners</x:v>
      </x:c>
      <x:c r="M70" s="53" t="str">
        <x:v>UAN</x:v>
      </x:c>
      <x:c r="N70" s="65" t="n">
        <x:v>2</x:v>
      </x:c>
      <x:c r="O70" s="53" t="str">
        <x:v>candidate_unapproved</x:v>
      </x:c>
      <x:c r="P70" s="53" t="str">
        <x:v>pending_primary_source</x:v>
      </x:c>
      <x:c r="Q70" s="53" t="str">
        <x:v>pending_reconstruction</x:v>
      </x:c>
      <x:c r="R70" s="53" t="str">
        <x:v>pending_reconciliation</x:v>
      </x:c>
      <x:c r="S70" s="65" t="n">
        <x:v>0</x:v>
      </x:c>
      <x:c r="T70" s="65" t="n">
        <x:v>0</x:v>
      </x:c>
      <x:c r="U70" s="60" t="str">
        <x:v>Norgate US Equities Delisted and Current &amp; Past watchlists</x:v>
      </x:c>
      <x:c r="V70" s="60" t="str"/>
      <x:c r="W70" s="60" t="str">
        <x:v>Nitrogen partnership adds highly cyclical and leveraged operating history</x:v>
      </x:c>
      <x:c r="X70" s="61" t="str">
        <x:v>Partnership structure requires separate payout and tax-treatment review</x:v>
      </x:c>
    </x:row>
    <x:row r="71">
      <x:c r="A71" s="52" t="str">
        <x:v>Basic Materials</x:v>
      </x:c>
      <x:c r="B71" s="53" t="str">
        <x:v>agricultural_inputs_crop_science</x:v>
      </x:c>
      <x:c r="C71" s="53" t="str">
        <x:v>SYT</x:v>
      </x:c>
      <x:c r="D71" s="53" t="str">
        <x:v>SYT-201801</x:v>
      </x:c>
      <x:c r="E71" s="53" t="n">
        <x:v>138834</x:v>
      </x:c>
      <x:c r="F71" s="53" t="str">
        <x:v>Syngenta AG ADR</x:v>
      </x:c>
      <x:c r="G71" s="53" t="str">
        <x:v>Fertilizers &amp; Agricultural Chemicals</x:v>
      </x:c>
      <x:c r="H71" s="53" t="str">
        <x:v>2000-11-13</x:v>
      </x:c>
      <x:c r="I71" s="53" t="str">
        <x:v>2018-01-05</x:v>
      </x:c>
      <x:c r="J71" s="53" t="str">
        <x:v>cash_acquisition</x:v>
      </x:c>
      <x:c r="K71" s="53" t="str"/>
      <x:c r="L71" s="53" t="str">
        <x:v>China National Chemical Corp</x:v>
      </x:c>
      <x:c r="M71" s="53" t="str"/>
      <x:c r="N71" s="65" t="n">
        <x:v>1</x:v>
      </x:c>
      <x:c r="O71" s="53" t="str">
        <x:v>candidate_unapproved</x:v>
      </x:c>
      <x:c r="P71" s="53" t="str">
        <x:v>pending_primary_source</x:v>
      </x:c>
      <x:c r="Q71" s="53" t="str">
        <x:v>pending_reconstruction</x:v>
      </x:c>
      <x:c r="R71" s="53" t="str">
        <x:v>pending_reconciliation</x:v>
      </x:c>
      <x:c r="S71" s="65" t="n">
        <x:v>0</x:v>
      </x:c>
      <x:c r="T71" s="65" t="n">
        <x:v>0</x:v>
      </x:c>
      <x:c r="U71" s="60" t="str">
        <x:v>Norgate US Equities Delisted and Current &amp; Past watchlists</x:v>
      </x:c>
      <x:c r="V71" s="60" t="str"/>
      <x:c r="W71" s="60" t="str">
        <x:v>Global crop-protection and seed analogue with ADR reporting considerations</x:v>
      </x:c>
      <x:c r="X71" s="61" t="str"/>
    </x:row>
    <x:row r="72">
      <x:c r="A72" s="52" t="str">
        <x:v>Basic Materials</x:v>
      </x:c>
      <x:c r="B72" s="53" t="str">
        <x:v>agricultural_inputs_crop_science</x:v>
      </x:c>
      <x:c r="C72" s="53" t="str">
        <x:v>MBII</x:v>
      </x:c>
      <x:c r="D72" s="53" t="str">
        <x:v>MBII-202207</x:v>
      </x:c>
      <x:c r="E72" s="53" t="n">
        <x:v>816824</x:v>
      </x:c>
      <x:c r="F72" s="53" t="str">
        <x:v>Marrone Bio Innovations Inc</x:v>
      </x:c>
      <x:c r="G72" s="53" t="str">
        <x:v>Fertilizers &amp; Agricultural Chemicals</x:v>
      </x:c>
      <x:c r="H72" s="53" t="str">
        <x:v>2013-08-02</x:v>
      </x:c>
      <x:c r="I72" s="53" t="str">
        <x:v>2022-07-12</x:v>
      </x:c>
      <x:c r="J72" s="53" t="str">
        <x:v>stock_acquisition</x:v>
      </x:c>
      <x:c r="K72" s="53" t="str"/>
      <x:c r="L72" s="53" t="str">
        <x:v>Bioceres Crop Solutions</x:v>
      </x:c>
      <x:c r="M72" s="53" t="str">
        <x:v>BIOX</x:v>
      </x:c>
      <x:c r="N72" s="65" t="n">
        <x:v>1</x:v>
      </x:c>
      <x:c r="O72" s="53" t="str">
        <x:v>candidate_unapproved</x:v>
      </x:c>
      <x:c r="P72" s="53" t="str">
        <x:v>pending_primary_source</x:v>
      </x:c>
      <x:c r="Q72" s="53" t="str">
        <x:v>pending_reconstruction</x:v>
      </x:c>
      <x:c r="R72" s="53" t="str">
        <x:v>pending_reconciliation</x:v>
      </x:c>
      <x:c r="S72" s="65" t="n">
        <x:v>0</x:v>
      </x:c>
      <x:c r="T72" s="65" t="n">
        <x:v>0</x:v>
      </x:c>
      <x:c r="U72" s="60" t="str">
        <x:v>Norgate US Equities Delisted and Current &amp; Past watchlists</x:v>
      </x:c>
      <x:c r="V72" s="60" t="str"/>
      <x:c r="W72" s="60" t="str">
        <x:v>Biological crop-input analogue adds growth and financing-risk variation</x:v>
      </x:c>
      <x:c r="X72" s="61" t="str"/>
    </x:row>
    <x:row r="73">
      <x:c r="A73" s="55" t="str">
        <x:v>Basic Materials</x:v>
      </x:c>
      <x:c r="B73" s="56" t="str">
        <x:v>agricultural_inputs_crop_science</x:v>
      </x:c>
      <x:c r="C73" s="56" t="str">
        <x:v>AGFS</x:v>
      </x:c>
      <x:c r="D73" s="56" t="str">
        <x:v>AGFS-202303</x:v>
      </x:c>
      <x:c r="E73" s="56" t="n">
        <x:v>1595777</x:v>
      </x:c>
      <x:c r="F73" s="56" t="str">
        <x:v>AgroFresh Solutions Inc</x:v>
      </x:c>
      <x:c r="G73" s="56" t="str">
        <x:v>Fertilizers &amp; Agricultural Chemicals</x:v>
      </x:c>
      <x:c r="H73" s="56" t="str">
        <x:v>2014-04-24</x:v>
      </x:c>
      <x:c r="I73" s="56" t="str">
        <x:v>2023-03-30</x:v>
      </x:c>
      <x:c r="J73" s="56" t="str">
        <x:v>cash_acquisition</x:v>
      </x:c>
      <x:c r="K73" s="56" t="str"/>
      <x:c r="L73" s="56" t="str">
        <x:v>Paine Schwartz Partners</x:v>
      </x:c>
      <x:c r="M73" s="56" t="str"/>
      <x:c r="N73" s="66" t="n">
        <x:v>1</x:v>
      </x:c>
      <x:c r="O73" s="56" t="str">
        <x:v>candidate_unapproved</x:v>
      </x:c>
      <x:c r="P73" s="56" t="str">
        <x:v>pending_primary_source</x:v>
      </x:c>
      <x:c r="Q73" s="56" t="str">
        <x:v>pending_reconstruction</x:v>
      </x:c>
      <x:c r="R73" s="56" t="str">
        <x:v>pending_reconciliation</x:v>
      </x:c>
      <x:c r="S73" s="66" t="n">
        <x:v>0</x:v>
      </x:c>
      <x:c r="T73" s="66" t="n">
        <x:v>0</x:v>
      </x:c>
      <x:c r="U73" s="62" t="str">
        <x:v>Norgate US Equities Delisted and Current &amp; Past watchlists</x:v>
      </x:c>
      <x:c r="V73" s="62" t="str"/>
      <x:c r="W73" s="62" t="str">
        <x:v>Post-harvest crop-science analogue with a recent private-equity exit</x:v>
      </x:c>
      <x:c r="X73" s="63" t="str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</x:row>
  </x:sheetData>
  <x:conditionalFormatting sqref="P2:P73">
    <x:cfRule type="expression" dxfId="1" priority="1">
      <x:formula>$P2="provider_mapping_blocked"</x:formula>
    </x:cfRule>
  </x:conditionalFormatting>
  <x:conditionalFormatting sqref="V2:V73">
    <x:cfRule type="expression" dxfId="2" priority="2">
      <x:formula>LEN($V2)=0</x:formula>
    </x:cfRule>
  </x:conditionalFormatting>
  <x:conditionalFormatting sqref="T2:T73">
    <x:cfRule type="cellIs" dxfId="3" priority="3" operator="greaterThan">
      <x:formula>0</x:formula>
    </x:cfRule>
  </x:conditionalFormatting>
  <x:dataValidations count="4">
    <x:dataValidation type="list" sqref="O2:O73">
      <x:formula1>"candidate_unapproved,review_in_progress,approved_for_stage2b,rejected"</x:formula1>
    </x:dataValidation>
    <x:dataValidation type="list" sqref="P2:P73">
      <x:formula1>"pending_primary_source,source_found_terminal_pending,provider_mapping_blocked,reconciled"</x:formula1>
    </x:dataValidation>
    <x:dataValidation type="list" sqref="Q2:Q73">
      <x:formula1>"pending_reconstruction,reconstructed,rejected"</x:formula1>
    </x:dataValidation>
    <x:dataValidation type="list" sqref="R2:R73">
      <x:formula1>"pending_reconciliation,reconciled,not_applicable"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ab17fc4a5246f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58" hidden="0" customWidth="1"/>
    <x:col min="3" max="3" width="62" hidden="0" customWidth="1"/>
  </x:cols>
  <x:sheetData>
    <x:row r="1">
      <x:c r="A1" s="27" t="str">
        <x:v>Field Guide and Promotion Contract</x:v>
      </x:c>
      <x:c r="B1" s="27"/>
      <x:c r="C1" s="27"/>
      <x:c r="D1" s="27"/>
      <x:c r="E1" s="27"/>
      <x:c r="F1" s="27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</x:row>
    <x:row r="2">
      <x:c r="A2" s="27"/>
      <x:c r="B2" s="27"/>
      <x:c r="C2" s="27"/>
      <x:c r="D2" s="27"/>
      <x:c r="E2" s="27"/>
      <x:c r="F2" s="27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</x:row>
    <x:row r="3">
      <x:c r="A3" s="1"/>
      <x:c r="B3" s="1"/>
      <x:c r="C3" s="1"/>
      <x:c r="D3" s="1"/>
      <x:c r="E3" s="1"/>
      <x:c r="F3" s="1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</x:row>
    <x:row r="4">
      <x:c r="A4" s="10" t="str">
        <x:v>Field or status</x:v>
      </x:c>
      <x:c r="B4" s="10" t="str">
        <x:v>Meaning</x:v>
      </x:c>
      <x:c r="C4" s="10" t="str">
        <x:v>Promotion requirement</x:v>
      </x:c>
      <x:c r="D4" s="1"/>
      <x:c r="E4" s="1"/>
      <x:c r="F4" s="1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</x:row>
    <x:row r="5">
      <x:c r="A5" s="67" t="str">
        <x:v>provider_symbol / provider_asset_id</x:v>
      </x:c>
      <x:c r="B5" s="67" t="str">
        <x:v>Licensed adjusted-price identity; suffixed symbols isolate historical listings</x:v>
      </x:c>
      <x:c r="C5" s="67" t="str">
        <x:v>Must resolve to one security and one listing episode</x:v>
      </x:c>
      <x:c r="D5" s="1"/>
      <x:c r="E5" s="1"/>
      <x:c r="F5" s="1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</x:row>
    <x:row r="6">
      <x:c r="A6" s="67" t="str">
        <x:v>candidate_unapproved</x:v>
      </x:c>
      <x:c r="B6" s="67" t="str">
        <x:v>Research candidate only</x:v>
      </x:c>
      <x:c r="C6" s="67" t="str">
        <x:v>Human review has not approved historical ingestion</x:v>
      </x:c>
      <x:c r="D6" s="1"/>
      <x:c r="E6" s="1"/>
      <x:c r="F6" s="1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</x:row>
    <x:row r="7">
      <x:c r="A7" s="67" t="str">
        <x:v>pending_primary_source</x:v>
      </x:c>
      <x:c r="B7" s="67" t="str">
        <x:v>Expected event is not yet tied to a primary filing</x:v>
      </x:c>
      <x:c r="C7" s="67" t="str">
        <x:v>Add issuer or SEC event evidence</x:v>
      </x:c>
      <x:c r="D7" s="1"/>
      <x:c r="E7" s="1"/>
      <x:c r="F7" s="1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</x:row>
    <x:row r="8">
      <x:c r="A8" s="67" t="str">
        <x:v>source_found_terminal_pending</x:v>
      </x:c>
      <x:c r="B8" s="67" t="str">
        <x:v>Primary event source exists but terminal economics remain unreconciled</x:v>
      </x:c>
      <x:c r="C8" s="67" t="str">
        <x:v>Reconcile consideration and successor value</x:v>
      </x:c>
      <x:c r="D8" s="1"/>
      <x:c r="E8" s="1"/>
      <x:c r="F8" s="1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</x:row>
    <x:row r="9">
      <x:c r="A9" s="67" t="str">
        <x:v>provider_mapping_blocked</x:v>
      </x:c>
      <x:c r="B9" s="67" t="str">
        <x:v>Company is relevant but the price-provider asset is unresolved</x:v>
      </x:c>
      <x:c r="C9" s="67" t="str">
        <x:v>Resolve exact asset; ticker text alone is insufficient</x:v>
      </x:c>
      <x:c r="D9" s="1"/>
      <x:c r="E9" s="1"/>
      <x:c r="F9" s="1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</x:row>
    <x:row r="10">
      <x:c r="A10" s="67" t="str">
        <x:v>pending_reconstruction</x:v>
      </x:c>
      <x:c r="B10" s="67" t="str">
        <x:v>No point-in-time membership episode exists yet</x:v>
      </x:c>
      <x:c r="C10" s="67" t="str">
        <x:v>Build effective start and end dates with evidence</x:v>
      </x:c>
      <x:c r="D10" s="1"/>
      <x:c r="E10" s="1"/>
      <x:c r="F10" s="1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</x:row>
    <x:row r="11">
      <x:c r="A11" s="67" t="str">
        <x:v>pending_reconciliation</x:v>
      </x:c>
      <x:c r="B11" s="67" t="str">
        <x:v>Cash stock CVR bankruptcy or successor value is not finalized</x:v>
      </x:c>
      <x:c r="C11" s="67" t="str">
        <x:v>Complete terminal-event ledger and tests</x:v>
      </x:c>
      <x:c r="D11" s="1"/>
      <x:c r="E11" s="1"/>
      <x:c r="F11" s="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</x:row>
    <x:row r="12">
      <x:c r="A12" s="67" t="str">
        <x:v>include_in_historical_universe = 0</x:v>
      </x:c>
      <x:c r="B12" s="67" t="str">
        <x:v>Candidate cannot enter historical panels</x:v>
      </x:c>
      <x:c r="C12" s="67" t="str">
        <x:v>Set only through a reviewed Stage 2B promotion artifact</x:v>
      </x:c>
      <x:c r="D12" s="1"/>
      <x:c r="E12" s="1"/>
      <x:c r="F12" s="1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</x:row>
    <x:row r="13">
      <x:c r="A13" s="67" t="str">
        <x:v>calibration_eligible = 0</x:v>
      </x:c>
      <x:c r="B13" s="67" t="str">
        <x:v>Candidate cannot affect model fitting or validation</x:v>
      </x:c>
      <x:c r="C13" s="67" t="str">
        <x:v>Requires Stage 2B plus Stage 3/4 data-quality gates</x:v>
      </x:c>
      <x:c r="D13" s="1"/>
      <x:c r="E13" s="1"/>
      <x:c r="F13" s="1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</x:row>
    <x:row r="14">
      <x:c r="A14" s="67" t="str">
        <x:v>candidate_tier = 1</x:v>
      </x:c>
      <x:c r="B14" s="67" t="str">
        <x:v>Highest-value first review set</x:v>
      </x:c>
      <x:c r="C14" s="67" t="str">
        <x:v>Prioritize for source and identity reconciliation</x:v>
      </x:c>
      <x:c r="D14" s="1"/>
      <x:c r="E14" s="1"/>
      <x:c r="F14" s="1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</x:row>
    <x:row r="15">
      <x:c r="A15" s="67" t="str">
        <x:v>candidate_tier = 2</x:v>
      </x:c>
      <x:c r="B15" s="67" t="str">
        <x:v>Useful breadth or edge-case set</x:v>
      </x:c>
      <x:c r="C15" s="67" t="str">
        <x:v>Review after Tier 1 or when a cohort remains thin</x:v>
      </x:c>
      <x:c r="D15" s="1"/>
      <x:c r="E15" s="1"/>
      <x:c r="F15" s="1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</x:row>
    <x:row r="16">
      <x:c r="A16" s="1"/>
      <x:c r="B16" s="1"/>
      <x:c r="C16" s="1"/>
      <x:c r="D16" s="1"/>
      <x:c r="E16" s="1"/>
      <x:c r="F16" s="1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</x:row>
    <x:row r="17">
      <x:c r="A17" s="1"/>
      <x:c r="B17" s="1"/>
      <x:c r="C17" s="1"/>
      <x:c r="D17" s="1"/>
      <x:c r="E17" s="1"/>
      <x:c r="F17" s="1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</x:row>
    <x:row r="18">
      <x:c r="A18" s="68" t="str">
        <x:v>Important: this workbook is a review aid. The CSV and policy are the version-controlled candidate sources; neither is a historical-membership load file.</x:v>
      </x:c>
      <x:c r="B18" s="68"/>
      <x:c r="C18" s="68"/>
      <x:c r="D18" s="68"/>
      <x:c r="E18" s="68"/>
      <x:c r="F18" s="6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</x:row>
  </x:sheetData>
  <x:mergeCells>
    <x:mergeCell ref="A1:F2"/>
    <x:mergeCell ref="A18:F18"/>
  </x:mergeCells>
  <x:pageMargins left="0.7" right="0.7" top="0.75" bottom="0.75" header="0.3" footer="0.3"/>
</x:worksheet>
</file>